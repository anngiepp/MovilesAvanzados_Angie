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ámetros" sheetId="1" state="visible" r:id="rId3"/>
    <sheet name="Boleta" sheetId="2" state="visible" r:id="rId4"/>
    <sheet name="Casos" sheetId="3" state="visible" r:id="rId5"/>
    <sheet name="Explicación" sheetId="4" state="visible" r:id="rId6"/>
  </sheets>
  <definedNames>
    <definedName function="false" hidden="false" name="ASIG_FAMILIAR" vbProcedure="false">Parámetros!$B$7</definedName>
    <definedName function="false" hidden="false" name="DIAS_MES" vbProcedure="false">Parámetros!$B$12</definedName>
    <definedName function="false" hidden="false" name="HORAS_DIA" vbProcedure="false">Parámetros!$B$13</definedName>
    <definedName function="false" hidden="false" name="LISTA_AFP" vbProcedure="false">Parámetros!$A$18:$A$22</definedName>
    <definedName function="false" hidden="false" name="PCT_ASIG" vbProcedure="false">Parámetros!$B$6</definedName>
    <definedName function="false" hidden="false" name="RECARGO_25" vbProcedure="false">Parámetros!$B$10</definedName>
    <definedName function="false" hidden="false" name="RECARGO_35" vbProcedure="false">Parámetros!$B$11</definedName>
    <definedName function="false" hidden="false" name="RMV" vbProcedure="false">Parámetros!$B$5</definedName>
    <definedName function="false" hidden="false" name="TABLA_AFP" vbProcedure="false">Parámetros!$A$18:$D$22</definedName>
    <definedName function="false" hidden="false" name="TASA_ESSALUD" vbProcedure="false">Parámetros!$B$9</definedName>
    <definedName function="false" hidden="false" name="TASA_ONP" vbProcedure="false">Parámetros!$B$8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Precargado con los mismos valores con los que abre la app (caso 1).</t>
        </r>
      </text>
    </comment>
  </commentList>
</comments>
</file>

<file path=xl/sharedStrings.xml><?xml version="1.0" encoding="utf-8"?>
<sst xmlns="http://schemas.openxmlformats.org/spreadsheetml/2006/main" count="428" uniqueCount="255">
  <si>
    <t xml:space="preserve">Parámetros del cálculo</t>
  </si>
  <si>
    <t xml:space="preserve">Todos los valores fijos están aquí. Las fórmulas de las otras hojas los usan por su nombre (ej. RMV, TASA_ONP). Celdas en azul = valores fijos.</t>
  </si>
  <si>
    <t xml:space="preserve">Parámetro</t>
  </si>
  <si>
    <t xml:space="preserve">Valor</t>
  </si>
  <si>
    <t xml:space="preserve">Nombre en fórmulas</t>
  </si>
  <si>
    <t xml:space="preserve">Fecha de consulta</t>
  </si>
  <si>
    <t xml:space="preserve">Fuente</t>
  </si>
  <si>
    <t xml:space="preserve">Remuneración Mínima Vital (RMV)</t>
  </si>
  <si>
    <t xml:space="preserve">RMV</t>
  </si>
  <si>
    <t xml:space="preserve">28/10/2026</t>
  </si>
  <si>
    <t xml:space="preserve">D.S. N.° 015-2026-TR (El Peruano, 28/09/2026), vigente desde el 01/10/2026</t>
  </si>
  <si>
    <t xml:space="preserve">Asignación familiar (% de la RMV)</t>
  </si>
  <si>
    <t xml:space="preserve">PCT_ASIG</t>
  </si>
  <si>
    <t xml:space="preserve">Ley 25129</t>
  </si>
  <si>
    <t xml:space="preserve">Asignación familiar (monto)</t>
  </si>
  <si>
    <t xml:space="preserve">ASIG_FAMILIAR</t>
  </si>
  <si>
    <t xml:space="preserve">Calculado: RMV × 10%</t>
  </si>
  <si>
    <t xml:space="preserve">ONP</t>
  </si>
  <si>
    <t xml:space="preserve">TASA_ONP</t>
  </si>
  <si>
    <t xml:space="preserve">D.L. 19990</t>
  </si>
  <si>
    <t xml:space="preserve">EsSalud (lo paga el empleador)</t>
  </si>
  <si>
    <t xml:space="preserve">TASA_ESSALUD</t>
  </si>
  <si>
    <t xml:space="preserve">Ley 26790</t>
  </si>
  <si>
    <t xml:space="preserve">Recargo horas extras (primeras horas)</t>
  </si>
  <si>
    <t xml:space="preserve">RECARGO_25</t>
  </si>
  <si>
    <t xml:space="preserve">D.S. 007-2002-TR (jornada y sobretiempo)</t>
  </si>
  <si>
    <t xml:space="preserve">Recargo horas extras (siguientes)</t>
  </si>
  <si>
    <t xml:space="preserve">RECARGO_35</t>
  </si>
  <si>
    <t xml:space="preserve">Días del mes (convención)</t>
  </si>
  <si>
    <t xml:space="preserve">DIAS_MES</t>
  </si>
  <si>
    <t xml:space="preserve">Convención de la actividad</t>
  </si>
  <si>
    <t xml:space="preserve">Horas por día (convención)</t>
  </si>
  <si>
    <t xml:space="preserve">HORAS_DIA</t>
  </si>
  <si>
    <t xml:space="preserve">Tasas de las AFP</t>
  </si>
  <si>
    <t xml:space="preserve">AFP</t>
  </si>
  <si>
    <t xml:space="preserve">Fondo</t>
  </si>
  <si>
    <t xml:space="preserve">Comisión</t>
  </si>
  <si>
    <t xml:space="preserve">Seguro</t>
  </si>
  <si>
    <t xml:space="preserve">AFP Ejemplo</t>
  </si>
  <si>
    <t xml:space="preserve">Valores de prueba del enunciado (solo para los casos 3 y 4)</t>
  </si>
  <si>
    <t xml:space="preserve">Habitat (flujo)</t>
  </si>
  <si>
    <t xml:space="preserve">SBS, comisiones y primas, devengue octubre 2026</t>
  </si>
  <si>
    <t xml:space="preserve">Integra (flujo)</t>
  </si>
  <si>
    <t xml:space="preserve">Prima (flujo)</t>
  </si>
  <si>
    <t xml:space="preserve">Profuturo (flujo)</t>
  </si>
  <si>
    <t xml:space="preserve">Nota: las AFP reales se cargan con comisión sobre flujo. La prima de seguro real tiene tope (remuneración máxima asegurable S/ 12,732.70 en oct-2026); el modelo del curso no lo aplica, y en nuestros casos no influye porque ningún sueldo llega a ese tope.</t>
  </si>
  <si>
    <t xml:space="preserve">Boleta de ejemplo</t>
  </si>
  <si>
    <t xml:space="preserve">Del sueldo al neto · Escribe los datos en las celdas amarillas (los mismos campos de la app). Todo lo demás se calcula solo con fórmulas.</t>
  </si>
  <si>
    <t xml:space="preserve">Dato de entrada</t>
  </si>
  <si>
    <t xml:space="preserve">Regla</t>
  </si>
  <si>
    <t xml:space="preserve">Nota que muestra la app</t>
  </si>
  <si>
    <t xml:space="preserve">Sueldo básico (S/)</t>
  </si>
  <si>
    <t xml:space="preserve">Mayor que cero</t>
  </si>
  <si>
    <t xml:space="preserve">Días laborados</t>
  </si>
  <si>
    <t xml:space="preserve">Entero entre 1 y 30</t>
  </si>
  <si>
    <t xml:space="preserve">¿Tiene hijos?</t>
  </si>
  <si>
    <t xml:space="preserve">No</t>
  </si>
  <si>
    <t xml:space="preserve">No / Sí</t>
  </si>
  <si>
    <t xml:space="preserve">Sistema de pensiones</t>
  </si>
  <si>
    <t xml:space="preserve">ONP / AFP</t>
  </si>
  <si>
    <t xml:space="preserve">AFP (solo si eligió AFP)</t>
  </si>
  <si>
    <t xml:space="preserve">Lista de la hoja Parámetros</t>
  </si>
  <si>
    <t xml:space="preserve">Horas extras 25%</t>
  </si>
  <si>
    <t xml:space="preserve">Mayor o igual a cero</t>
  </si>
  <si>
    <t xml:space="preserve">Horas extras 35%</t>
  </si>
  <si>
    <t xml:space="preserve">Adelantos (S/)</t>
  </si>
  <si>
    <t xml:space="preserve">Validación</t>
  </si>
  <si>
    <t xml:space="preserve">Valor hora (auxiliar, no se suma)</t>
  </si>
  <si>
    <t xml:space="preserve">REMUNERACIONES</t>
  </si>
  <si>
    <t xml:space="preserve">S/</t>
  </si>
  <si>
    <t xml:space="preserve">RETENCIONES / DESCUENTOS</t>
  </si>
  <si>
    <t xml:space="preserve">APORTACIONES DEL EMPLEADOR</t>
  </si>
  <si>
    <t xml:space="preserve">Sueldo computable</t>
  </si>
  <si>
    <t xml:space="preserve">EsSalud (9%)</t>
  </si>
  <si>
    <t xml:space="preserve">Asignación familiar</t>
  </si>
  <si>
    <t xml:space="preserve">AFP fondo</t>
  </si>
  <si>
    <t xml:space="preserve">Lo paga el empleador. No se resta de tu neto.</t>
  </si>
  <si>
    <t xml:space="preserve">AFP comisión</t>
  </si>
  <si>
    <t xml:space="preserve">AFP seguro</t>
  </si>
  <si>
    <t xml:space="preserve">Adelantos</t>
  </si>
  <si>
    <t xml:space="preserve">Total remuneraciones</t>
  </si>
  <si>
    <t xml:space="preserve">Total descuentos</t>
  </si>
  <si>
    <t xml:space="preserve">NETO A PAGAR (S/)</t>
  </si>
  <si>
    <t xml:space="preserve">RMV S/ 1,230 · Consulta: 28/10/2026. Modelo académico sin renta de quinta categoría ni bases mínimas de EsSalud.</t>
  </si>
  <si>
    <t xml:space="preserve">Extra para el análisis (no aparece en la app)</t>
  </si>
  <si>
    <t xml:space="preserve">Costo total para la empresa (remuneraciones + EsSalud)</t>
  </si>
  <si>
    <t xml:space="preserve">% del sueldo bruto que llega al trabajador</t>
  </si>
  <si>
    <t xml:space="preserve">Casos de prueba y control cruzado con la app</t>
  </si>
  <si>
    <t xml:space="preserve">Cada fila es una boleta completa. Amarillo = datos que se ingresan en la app; el resto son las mismas fórmulas de la hoja Boleta. Las columnas 'app' son lo que muestra la app para esos mismos datos (comprobado con las pruebas de BoletaTests.swift).</t>
  </si>
  <si>
    <t xml:space="preserve">Caso</t>
  </si>
  <si>
    <t xml:space="preserve">Descripción</t>
  </si>
  <si>
    <t xml:space="preserve">Sueldo</t>
  </si>
  <si>
    <t xml:space="preserve">Días</t>
  </si>
  <si>
    <t xml:space="preserve">Hijos</t>
  </si>
  <si>
    <t xml:space="preserve">Sistema</t>
  </si>
  <si>
    <t xml:space="preserve">HE 25%</t>
  </si>
  <si>
    <t xml:space="preserve">HE 35%</t>
  </si>
  <si>
    <t xml:space="preserve">Adelanto</t>
  </si>
  <si>
    <t xml:space="preserve">Valor hora</t>
  </si>
  <si>
    <t xml:space="preserve">Asig. familiar</t>
  </si>
  <si>
    <t xml:space="preserve">HE 25% S/</t>
  </si>
  <si>
    <t xml:space="preserve">HE 35% S/</t>
  </si>
  <si>
    <t xml:space="preserve">Neto a pagar</t>
  </si>
  <si>
    <t xml:space="preserve">EsSalud</t>
  </si>
  <si>
    <t xml:space="preserve">% neto / bruto</t>
  </si>
  <si>
    <t xml:space="preserve">Neto esperado (enunciado)</t>
  </si>
  <si>
    <t xml:space="preserve">Total rem. app</t>
  </si>
  <si>
    <t xml:space="preserve">Total desc. app</t>
  </si>
  <si>
    <t xml:space="preserve">Neto app</t>
  </si>
  <si>
    <t xml:space="preserve">EsSalud app</t>
  </si>
  <si>
    <t xml:space="preserve">Diferencia Excel − app</t>
  </si>
  <si>
    <t xml:space="preserve">¿Coincide?</t>
  </si>
  <si>
    <t xml:space="preserve">1</t>
  </si>
  <si>
    <t xml:space="preserve">Sin hijos, ONP, mes completo</t>
  </si>
  <si>
    <t xml:space="preserve">2</t>
  </si>
  <si>
    <t xml:space="preserve">Con hijos, días incompletos</t>
  </si>
  <si>
    <t xml:space="preserve">Sí</t>
  </si>
  <si>
    <t xml:space="preserve">3</t>
  </si>
  <si>
    <t xml:space="preserve">AFP, horas extras y adelanto</t>
  </si>
  <si>
    <t xml:space="preserve">4</t>
  </si>
  <si>
    <t xml:space="preserve">Evaluación (lo revisa el docente)</t>
  </si>
  <si>
    <t xml:space="preserve">—</t>
  </si>
  <si>
    <t xml:space="preserve">Propio 1</t>
  </si>
  <si>
    <t xml:space="preserve">Mi caso propio · ASO Developer Junior (LYNXUS Solutions)</t>
  </si>
  <si>
    <t xml:space="preserve">Propio 2</t>
  </si>
  <si>
    <t xml:space="preserve">Segundo sueldo real para comparar · Modelador BIM de Estructuras (Typsa Perú)</t>
  </si>
  <si>
    <t xml:space="preserve">Casos propios: sueldos tomados de ofertas publicadas (enlaces y fechas en la hoja Explicación). Personas y empresas de la boleta son ficticias.</t>
  </si>
  <si>
    <t xml:space="preserve">Escenarios usados en las preguntas de análisis</t>
  </si>
  <si>
    <t xml:space="preserve">P1-ONP</t>
  </si>
  <si>
    <t xml:space="preserve">Caso 3 pero con ONP</t>
  </si>
  <si>
    <t xml:space="preserve">P3-30d</t>
  </si>
  <si>
    <t xml:space="preserve">Caso 2 pero con 30 días</t>
  </si>
  <si>
    <t xml:space="preserve">Registro libre: copia aquí lo que ingreses en la app y lo que te muestra</t>
  </si>
  <si>
    <t xml:space="preserve">Llena las celdas amarillas con los mismos datos del formulario de la app y, a la derecha, los totales que salen en la boleta de la app. La columna ¿Coincide? dice si el Excel da lo mismo al centavo.</t>
  </si>
  <si>
    <t xml:space="preserve">Libre 1</t>
  </si>
  <si>
    <t xml:space="preserve">Libre 2</t>
  </si>
  <si>
    <t xml:space="preserve">Libre 3</t>
  </si>
  <si>
    <t xml:space="preserve">Libre 4</t>
  </si>
  <si>
    <t xml:space="preserve">Libre 5</t>
  </si>
  <si>
    <t xml:space="preserve">Libre 6</t>
  </si>
  <si>
    <t xml:space="preserve">Libre 7</t>
  </si>
  <si>
    <t xml:space="preserve">Libre 8</t>
  </si>
  <si>
    <t xml:space="preserve">Explicación de cada fórmula (para alguien que no sabe contabilidad)</t>
  </si>
  <si>
    <t xml:space="preserve">Los ejemplos numéricos son del caso 3: sueldo S/ 3,000, 30 días, con hijos, AFP Ejemplo, 4 h al 25%, 4 h al 35%, adelanto S/ 200. Los números de la columna D se calculan solos desde la hoja Casos.</t>
  </si>
  <si>
    <t xml:space="preserve">En Excel en español las funciones se ven traducidas: ROUND = REDONDEAR, IF = SI, VLOOKUP = BUSCARV, IFERROR = SI.ERROR, SUM = SUMA.</t>
  </si>
  <si>
    <t xml:space="preserve">Concepto</t>
  </si>
  <si>
    <t xml:space="preserve">Fórmula en Excel (hoja Boleta)</t>
  </si>
  <si>
    <t xml:space="preserve">Explicado en palabras</t>
  </si>
  <si>
    <t xml:space="preserve">Ejemplo (caso 3)</t>
  </si>
  <si>
    <t xml:space="preserve">Resultado</t>
  </si>
  <si>
    <t xml:space="preserve"> =ROUND(B5/DIAS_MES*B6,2)</t>
  </si>
  <si>
    <t xml:space="preserve">El sueldo pactado es por 30 días. Se divide entre 30 para saber cuánto vale un día y se multiplica por los días que de verdad trabajó. Si faltó, ya está restado aquí.</t>
  </si>
  <si>
    <t xml:space="preserve">3,000 ÷ 30 × 30</t>
  </si>
  <si>
    <t xml:space="preserve"> =IF(B7="Sí",ASIG_FAMILIAR,0)</t>
  </si>
  <si>
    <t xml:space="preserve">Si el trabajador tiene hijos recibe el 10% del sueldo mínimo (RMV). Es un monto fijo: no importa cuántos días trabajó ni cuántos hijos tenga.</t>
  </si>
  <si>
    <t xml:space="preserve">10% × 1,230</t>
  </si>
  <si>
    <t xml:space="preserve"> =B5/DIAS_MES/HORAS_DIA</t>
  </si>
  <si>
    <t xml:space="preserve">Cuánto gana por una hora normal: el sueldo entre 30 días y entre 8 horas. No se redondea porque solo sirve para calcular las horas extras.</t>
  </si>
  <si>
    <t xml:space="preserve">3,000 ÷ 30 ÷ 8</t>
  </si>
  <si>
    <t xml:space="preserve"> =ROUND(B15*(1+RECARGO_25)*B10,2)</t>
  </si>
  <si>
    <t xml:space="preserve">Las primeras horas extra se pagan 25% más caras que una hora normal: valor hora × 1.25 × número de horas.</t>
  </si>
  <si>
    <t xml:space="preserve">12.50 × 1.25 × 4</t>
  </si>
  <si>
    <t xml:space="preserve"> =ROUND(B15*(1+RECARGO_35)*B11,2)</t>
  </si>
  <si>
    <t xml:space="preserve">Las siguientes horas extra se pagan 35% más caras: valor hora × 1.35 × número de horas.</t>
  </si>
  <si>
    <t xml:space="preserve">12.50 × 1.35 × 4</t>
  </si>
  <si>
    <t xml:space="preserve"> =SUM(B18:B21)</t>
  </si>
  <si>
    <t xml:space="preserve">Todo lo que gana en el mes antes de descuentos (el 'bruto'). Es la base para calcular pensión y EsSalud.</t>
  </si>
  <si>
    <t xml:space="preserve">3,000 + 123 + 62.50 + 67.50</t>
  </si>
  <si>
    <t xml:space="preserve"> =IF(B8="ONP",ROUND(B23*TASA_ONP,2),0)</t>
  </si>
  <si>
    <t xml:space="preserve">Si está en la ONP (sistema público), se le descuenta el 13% del total de remuneraciones. Si está en AFP, este descuento es 0.</t>
  </si>
  <si>
    <t xml:space="preserve">No aplica (está en AFP)</t>
  </si>
  <si>
    <t xml:space="preserve"> =IF(B8="AFP",ROUND(B23*IFERROR(VLOOKUP(B9,TABLA_AFP,2,FALSE),0),2),0)</t>
  </si>
  <si>
    <t xml:space="preserve">Si está en una AFP, el 10% va a su cuenta personal de jubilación. BUSCARV busca la AFP elegida en la tabla de Parámetros y trae su tasa (SI.ERROR pone 0 si la AFP no está en la lista).</t>
  </si>
  <si>
    <t xml:space="preserve">3,253 × 10%</t>
  </si>
  <si>
    <t xml:space="preserve"> =IF(B8="AFP",ROUND(B23*IFERROR(VLOOKUP(B9,TABLA_AFP,3,FALSE),0),2),0)</t>
  </si>
  <si>
    <t xml:space="preserve">Lo que cobra la AFP por administrar el dinero. Cada AFP tiene su propia tasa.</t>
  </si>
  <si>
    <t xml:space="preserve">3,253 × 1.60% = 52.048</t>
  </si>
  <si>
    <t xml:space="preserve"> =IF(B8="AFP",ROUND(B23*IFERROR(VLOOKUP(B9,TABLA_AFP,4,FALSE),0),2),0)</t>
  </si>
  <si>
    <t xml:space="preserve">Seguro de invalidez y sobrevivencia que se paga dentro de la AFP.</t>
  </si>
  <si>
    <t xml:space="preserve">3,253 × 1.35% = 43.9155</t>
  </si>
  <si>
    <t xml:space="preserve"> =ROUND(B12,2)</t>
  </si>
  <si>
    <t xml:space="preserve">Plata que el trabajador ya recibió antes durante el mes. Se resta tal cual.</t>
  </si>
  <si>
    <t xml:space="preserve">Monto ingresado</t>
  </si>
  <si>
    <t xml:space="preserve"> =SUM(D18:D22)</t>
  </si>
  <si>
    <t xml:space="preserve">Pensión (ONP o AFP) más adelantos.</t>
  </si>
  <si>
    <t xml:space="preserve">325.30 + 52.05 + 43.92 + 200</t>
  </si>
  <si>
    <t xml:space="preserve"> =IF(B14="OK",B23-D23,"—")</t>
  </si>
  <si>
    <t xml:space="preserve">Lo que de verdad llega al bolsillo: lo que gana menos lo que le descuentan. Si algún dato está mal no se calcula (igual que la app) y la validación dice qué corregir.</t>
  </si>
  <si>
    <t xml:space="preserve">3,253 − 621.27</t>
  </si>
  <si>
    <t xml:space="preserve"> =ROUND(B23*TASA_ESSALUD,2)</t>
  </si>
  <si>
    <t xml:space="preserve">Seguro de salud del trabajador. Lo paga la empresa (9% del total de remuneraciones), por eso NO se resta del neto.</t>
  </si>
  <si>
    <t xml:space="preserve">3,253 × 9%</t>
  </si>
  <si>
    <t xml:space="preserve">Redondeo</t>
  </si>
  <si>
    <t xml:space="preserve"> ROUND(valor,2)</t>
  </si>
  <si>
    <t xml:space="preserve">Cada concepto se redondea a 2 decimales (céntimos) ANTES de sumar. Por ejemplo 52.048 queda 52.05. Así la app y el Excel dan lo mismo al centavo.</t>
  </si>
  <si>
    <t xml:space="preserve">52.048 → 52.05</t>
  </si>
  <si>
    <t xml:space="preserve">Preguntas de análisis</t>
  </si>
  <si>
    <t xml:space="preserve">Pregunta</t>
  </si>
  <si>
    <t xml:space="preserve">Dato clave</t>
  </si>
  <si>
    <t xml:space="preserve">Respuesta</t>
  </si>
  <si>
    <t xml:space="preserve">Unidad</t>
  </si>
  <si>
    <t xml:space="preserve">1. ONP o AFP (caso 3)</t>
  </si>
  <si>
    <t xml:space="preserve">Neto con AFP Ejemplo vs. neto con ONP</t>
  </si>
  <si>
    <t xml:space="preserve">Este mes deja más plata la AFP, pero por muy poco (S/ 1.62). No basta comparar porcentajes porque no son lo mismo: el 13% de la ONP va a un fondo común y para cobrar pensión hay que aportar al menos 20 años; en la AFP el 10% es ahorro propio (sigue siendo del trabajador y crece con la rentabilidad), pero la comisión y el seguro sí son costo. Además la comisión cambia según la AFP y la pensión final depende de la rentabilidad y de cuántos años aporte.</t>
  </si>
  <si>
    <t xml:space="preserve">S/ más con AFP</t>
  </si>
  <si>
    <t xml:space="preserve">2. Costo real para la empresa (caso 3)</t>
  </si>
  <si>
    <t xml:space="preserve">Remuneraciones + EsSalud</t>
  </si>
  <si>
    <t xml:space="preserve">Al empleador el trabajador le cuesta remuneraciones más EsSalud. De ese costo, al trabajador le llega como neto el porcentaje de la fila de abajo; el resto se va en pensión, adelanto (que ya cobró antes) y EsSalud.</t>
  </si>
  <si>
    <t xml:space="preserve">S/ costo total</t>
  </si>
  <si>
    <t xml:space="preserve">% del costo que llega como neto</t>
  </si>
  <si>
    <t xml:space="preserve">%</t>
  </si>
  <si>
    <t xml:space="preserve">3. Días laborados (caso 2)</t>
  </si>
  <si>
    <t xml:space="preserve">Neto con 30 días − neto con 27 días</t>
  </si>
  <si>
    <t xml:space="preserve">Con 30 días el bruto sube S/ 180 (3 días × S/ 60), pero el neto sube menos porque de esos S/ 180 se descuenta 13% de ONP (S/ 23.40). La asignación familiar no cambia porque no se prorratea.</t>
  </si>
  <si>
    <t xml:space="preserve">S/ de diferencia en neto</t>
  </si>
  <si>
    <t xml:space="preserve">Diferencia en el bruto</t>
  </si>
  <si>
    <t xml:space="preserve">S/ de diferencia en bruto</t>
  </si>
  <si>
    <t xml:space="preserve">4. Horas extras (caso 3)</t>
  </si>
  <si>
    <t xml:space="preserve">(HE 25% + HE 35%) ÷ total remuneraciones</t>
  </si>
  <si>
    <t xml:space="preserve">Las 8 horas extras (S/ 130) son casi el 4% de todo lo que ganó en el mes.</t>
  </si>
  <si>
    <t xml:space="preserve">5. Con datos reales</t>
  </si>
  <si>
    <t xml:space="preserve">Con mi caso propio (S/ 2,300, ONP) llega el 87.00% del bruto y con el segundo sueldo real (S/ 2,500, AFP Habitat) el 87.16%. Casi igual, porque los descuentos son porcentajes fijos del bruto: ganar más no cambia la proporción. Lo que la mueve es el sistema (ONP 13%; AFP reales entre 12.84% y 13.06% según la comisión), la asignación familiar y los adelantos. Para comparar con dos compañeros, sus sueldos se registran en 'Registro libre' de la hoja Casos (filas Libre 1 y Libre 2) y su % sale abajo.</t>
  </si>
  <si>
    <t xml:space="preserve">% Propio 1 (ONP)</t>
  </si>
  <si>
    <t xml:space="preserve">% Propio 2 (AFP Habitat)</t>
  </si>
  <si>
    <t xml:space="preserve">% Compañero 1 (Libre 1)</t>
  </si>
  <si>
    <t xml:space="preserve">% Compañero 2 (Libre 2)</t>
  </si>
  <si>
    <t xml:space="preserve">Tabla de fuentes</t>
  </si>
  <si>
    <t xml:space="preserve">Dato</t>
  </si>
  <si>
    <t xml:space="preserve">Enlace</t>
  </si>
  <si>
    <t xml:space="preserve">S/ 1,230.00</t>
  </si>
  <si>
    <t xml:space="preserve">D.S. N.° 015-2026-TR, El Peruano (28/09/2026)</t>
  </si>
  <si>
    <t xml:space="preserve">https://busquedas.elperuano.pe/dispositivo/EX/2559163-1</t>
  </si>
  <si>
    <t xml:space="preserve">10% de la RMV = S/ 123.00</t>
  </si>
  <si>
    <t xml:space="preserve">13%</t>
  </si>
  <si>
    <t xml:space="preserve">9%</t>
  </si>
  <si>
    <t xml:space="preserve">Horas extras</t>
  </si>
  <si>
    <t xml:space="preserve">25% / 35%</t>
  </si>
  <si>
    <t xml:space="preserve">D.S. 007-2002-TR</t>
  </si>
  <si>
    <t xml:space="preserve">Comisiones AFP (flujo)</t>
  </si>
  <si>
    <t xml:space="preserve">Habitat 1.47% · Integra 1.55% · Prima 1.60% · Profuturo 1.69%</t>
  </si>
  <si>
    <t xml:space="preserve">SBS, devengue oct-2026</t>
  </si>
  <si>
    <t xml:space="preserve">https://www.sbs.gob.pe/app/spp/empleadores/comisiones_spp/paginas/comision_prima.aspx</t>
  </si>
  <si>
    <t xml:space="preserve">Prima de seguro AFP</t>
  </si>
  <si>
    <t xml:space="preserve">1.37% (tope S/ 12,732.70)</t>
  </si>
  <si>
    <t xml:space="preserve">Aporte al fondo AFP</t>
  </si>
  <si>
    <t xml:space="preserve">10%</t>
  </si>
  <si>
    <t xml:space="preserve">SBS</t>
  </si>
  <si>
    <t xml:space="preserve">Sueldo Propio 1</t>
  </si>
  <si>
    <t xml:space="preserve">S/ 2,300 mensual</t>
  </si>
  <si>
    <t xml:space="preserve">Indeed – ASO Developer Junior, LYNXUS Solutions (Lima, híbrido; vigente hasta 20/11/2026)</t>
  </si>
  <si>
    <t xml:space="preserve">https://pe.indeed.com/viewjob?jk=2e0bc9e6cc00ba32</t>
  </si>
  <si>
    <t xml:space="preserve">Sueldo Propio 2</t>
  </si>
  <si>
    <t xml:space="preserve">S/ 2,500 mensual (desde)</t>
  </si>
  <si>
    <t xml:space="preserve">Indeed – Modelador BIM de Estructuras, Typsa Perú (Miraflores, presencial; vigente hasta 11/12/2026)</t>
  </si>
  <si>
    <t xml:space="preserve">https://pe.indeed.com/viewjob?jk=a77b5ea411c2291e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</si>
</sst>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%"/>
    <numFmt numFmtId="167" formatCode="0"/>
    <numFmt numFmtId="168" formatCode="0.00"/>
    <numFmt numFmtId="169" formatCode="#,##0.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352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2"/>
      <color rgb="FF1F335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1F3352"/>
      <name val="Arial"/>
      <family val="0"/>
      <charset val="1"/>
    </font>
    <font>
      <sz val="10"/>
      <name val="Arial"/>
      <family val="2"/>
    </font>
    <font>
      <u val="single"/>
      <sz val="11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352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CE3E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2E7D32"/>
      </font>
    </dxf>
    <dxf>
      <font>
        <name val="Arial"/>
        <charset val="1"/>
        <family val="0"/>
        <color rgb="FFFFFFFF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CE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F33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busquedas.elperuano.pe/dispositivo/EX/2559163-1" TargetMode="External"/><Relationship Id="rId2" Type="http://schemas.openxmlformats.org/officeDocument/2006/relationships/hyperlink" Target="https://www.sbs.gob.pe/app/spp/empleadores/comisiones_spp/paginas/comision_prima.aspx" TargetMode="External"/><Relationship Id="rId3" Type="http://schemas.openxmlformats.org/officeDocument/2006/relationships/hyperlink" Target="https://www.sbs.gob.pe/app/spp/empleadores/comisiones_spp/paginas/comision_prima.aspx" TargetMode="External"/><Relationship Id="rId4" Type="http://schemas.openxmlformats.org/officeDocument/2006/relationships/hyperlink" Target="https://www.sbs.gob.pe/app/spp/empleadores/comisiones_spp/paginas/comision_prima.aspx" TargetMode="External"/><Relationship Id="rId5" Type="http://schemas.openxmlformats.org/officeDocument/2006/relationships/hyperlink" Target="https://pe.indeed.com/viewjob?jk=2e0bc9e6cc00ba32" TargetMode="External"/><Relationship Id="rId6" Type="http://schemas.openxmlformats.org/officeDocument/2006/relationships/hyperlink" Target="https://pe.indeed.com/viewjob?jk=a77b5ea411c2291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6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2"/>
    </row>
    <row r="5" customFormat="false" ht="15" hidden="false" customHeight="false" outlineLevel="0" collapsed="false">
      <c r="A5" s="5" t="s">
        <v>7</v>
      </c>
      <c r="B5" s="6" t="n">
        <v>1230</v>
      </c>
      <c r="C5" s="7" t="s">
        <v>8</v>
      </c>
      <c r="D5" s="5" t="s">
        <v>9</v>
      </c>
      <c r="E5" s="5" t="s">
        <v>10</v>
      </c>
      <c r="F5" s="2"/>
    </row>
    <row r="6" customFormat="false" ht="15" hidden="false" customHeight="false" outlineLevel="0" collapsed="false">
      <c r="A6" s="5" t="s">
        <v>11</v>
      </c>
      <c r="B6" s="8" t="n">
        <v>0.1</v>
      </c>
      <c r="C6" s="7" t="s">
        <v>12</v>
      </c>
      <c r="D6" s="5" t="s">
        <v>9</v>
      </c>
      <c r="E6" s="5" t="s">
        <v>13</v>
      </c>
      <c r="F6" s="2"/>
    </row>
    <row r="7" customFormat="false" ht="15" hidden="false" customHeight="false" outlineLevel="0" collapsed="false">
      <c r="A7" s="5" t="s">
        <v>14</v>
      </c>
      <c r="B7" s="9" t="n">
        <f aca="false">ROUND(RMV*PCT_ASIG,2)</f>
        <v>123</v>
      </c>
      <c r="C7" s="7" t="s">
        <v>15</v>
      </c>
      <c r="D7" s="5" t="s">
        <v>9</v>
      </c>
      <c r="E7" s="5" t="s">
        <v>16</v>
      </c>
      <c r="F7" s="2"/>
    </row>
    <row r="8" customFormat="false" ht="15" hidden="false" customHeight="false" outlineLevel="0" collapsed="false">
      <c r="A8" s="5" t="s">
        <v>17</v>
      </c>
      <c r="B8" s="8" t="n">
        <v>0.13</v>
      </c>
      <c r="C8" s="7" t="s">
        <v>18</v>
      </c>
      <c r="D8" s="5" t="s">
        <v>9</v>
      </c>
      <c r="E8" s="5" t="s">
        <v>19</v>
      </c>
      <c r="F8" s="2"/>
    </row>
    <row r="9" customFormat="false" ht="15" hidden="false" customHeight="false" outlineLevel="0" collapsed="false">
      <c r="A9" s="5" t="s">
        <v>20</v>
      </c>
      <c r="B9" s="8" t="n">
        <v>0.09</v>
      </c>
      <c r="C9" s="7" t="s">
        <v>21</v>
      </c>
      <c r="D9" s="5" t="s">
        <v>9</v>
      </c>
      <c r="E9" s="5" t="s">
        <v>22</v>
      </c>
      <c r="F9" s="2"/>
    </row>
    <row r="10" customFormat="false" ht="15" hidden="false" customHeight="false" outlineLevel="0" collapsed="false">
      <c r="A10" s="5" t="s">
        <v>23</v>
      </c>
      <c r="B10" s="8" t="n">
        <v>0.25</v>
      </c>
      <c r="C10" s="7" t="s">
        <v>24</v>
      </c>
      <c r="D10" s="5" t="s">
        <v>9</v>
      </c>
      <c r="E10" s="5" t="s">
        <v>25</v>
      </c>
      <c r="F10" s="2"/>
    </row>
    <row r="11" customFormat="false" ht="15" hidden="false" customHeight="false" outlineLevel="0" collapsed="false">
      <c r="A11" s="5" t="s">
        <v>26</v>
      </c>
      <c r="B11" s="8" t="n">
        <v>0.35</v>
      </c>
      <c r="C11" s="7" t="s">
        <v>27</v>
      </c>
      <c r="D11" s="5" t="s">
        <v>9</v>
      </c>
      <c r="E11" s="5" t="s">
        <v>25</v>
      </c>
      <c r="F11" s="2"/>
    </row>
    <row r="12" customFormat="false" ht="15" hidden="false" customHeight="false" outlineLevel="0" collapsed="false">
      <c r="A12" s="5" t="s">
        <v>28</v>
      </c>
      <c r="B12" s="10" t="n">
        <v>30</v>
      </c>
      <c r="C12" s="7" t="s">
        <v>29</v>
      </c>
      <c r="D12" s="5" t="s">
        <v>9</v>
      </c>
      <c r="E12" s="5" t="s">
        <v>30</v>
      </c>
      <c r="F12" s="2"/>
    </row>
    <row r="13" customFormat="false" ht="15" hidden="false" customHeight="false" outlineLevel="0" collapsed="false">
      <c r="A13" s="5" t="s">
        <v>31</v>
      </c>
      <c r="B13" s="10" t="n">
        <v>8</v>
      </c>
      <c r="C13" s="7" t="s">
        <v>32</v>
      </c>
      <c r="D13" s="5" t="s">
        <v>9</v>
      </c>
      <c r="E13" s="5" t="s">
        <v>30</v>
      </c>
      <c r="F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11" t="s">
        <v>33</v>
      </c>
      <c r="B16" s="2"/>
      <c r="C16" s="2"/>
      <c r="D16" s="2"/>
      <c r="E16" s="2"/>
      <c r="F16" s="2"/>
    </row>
    <row r="17" customFormat="false" ht="26.85" hidden="false" customHeight="false" outlineLevel="0" collapsed="false">
      <c r="A17" s="4" t="s">
        <v>34</v>
      </c>
      <c r="B17" s="4" t="s">
        <v>35</v>
      </c>
      <c r="C17" s="4" t="s">
        <v>36</v>
      </c>
      <c r="D17" s="4" t="s">
        <v>37</v>
      </c>
      <c r="E17" s="4" t="s">
        <v>6</v>
      </c>
      <c r="F17" s="4" t="s">
        <v>5</v>
      </c>
    </row>
    <row r="18" customFormat="false" ht="15" hidden="false" customHeight="false" outlineLevel="0" collapsed="false">
      <c r="A18" s="5" t="s">
        <v>38</v>
      </c>
      <c r="B18" s="8" t="n">
        <v>0.1</v>
      </c>
      <c r="C18" s="8" t="n">
        <v>0.016</v>
      </c>
      <c r="D18" s="8" t="n">
        <v>0.0135</v>
      </c>
      <c r="E18" s="5" t="s">
        <v>39</v>
      </c>
      <c r="F18" s="5" t="s">
        <v>9</v>
      </c>
    </row>
    <row r="19" customFormat="false" ht="15" hidden="false" customHeight="false" outlineLevel="0" collapsed="false">
      <c r="A19" s="5" t="s">
        <v>40</v>
      </c>
      <c r="B19" s="8" t="n">
        <v>0.1</v>
      </c>
      <c r="C19" s="8" t="n">
        <v>0.0147</v>
      </c>
      <c r="D19" s="8" t="n">
        <v>0.0137</v>
      </c>
      <c r="E19" s="5" t="s">
        <v>41</v>
      </c>
      <c r="F19" s="5" t="s">
        <v>9</v>
      </c>
    </row>
    <row r="20" customFormat="false" ht="15" hidden="false" customHeight="false" outlineLevel="0" collapsed="false">
      <c r="A20" s="5" t="s">
        <v>42</v>
      </c>
      <c r="B20" s="8" t="n">
        <v>0.1</v>
      </c>
      <c r="C20" s="8" t="n">
        <v>0.0155</v>
      </c>
      <c r="D20" s="8" t="n">
        <v>0.0137</v>
      </c>
      <c r="E20" s="5" t="s">
        <v>41</v>
      </c>
      <c r="F20" s="5" t="s">
        <v>9</v>
      </c>
    </row>
    <row r="21" customFormat="false" ht="15" hidden="false" customHeight="false" outlineLevel="0" collapsed="false">
      <c r="A21" s="5" t="s">
        <v>43</v>
      </c>
      <c r="B21" s="8" t="n">
        <v>0.1</v>
      </c>
      <c r="C21" s="8" t="n">
        <v>0.016</v>
      </c>
      <c r="D21" s="8" t="n">
        <v>0.0137</v>
      </c>
      <c r="E21" s="5" t="s">
        <v>41</v>
      </c>
      <c r="F21" s="5" t="s">
        <v>9</v>
      </c>
    </row>
    <row r="22" customFormat="false" ht="15" hidden="false" customHeight="false" outlineLevel="0" collapsed="false">
      <c r="A22" s="5" t="s">
        <v>44</v>
      </c>
      <c r="B22" s="8" t="n">
        <v>0.1</v>
      </c>
      <c r="C22" s="8" t="n">
        <v>0.0169</v>
      </c>
      <c r="D22" s="8" t="n">
        <v>0.0137</v>
      </c>
      <c r="E22" s="5" t="s">
        <v>41</v>
      </c>
      <c r="F22" s="5" t="s">
        <v>9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</row>
    <row r="24" customFormat="false" ht="45" hidden="false" customHeight="true" outlineLevel="0" collapsed="false">
      <c r="A24" s="12" t="s">
        <v>45</v>
      </c>
      <c r="B24" s="12"/>
      <c r="C24" s="12"/>
      <c r="D24" s="12"/>
      <c r="E24" s="12"/>
      <c r="F24" s="12"/>
    </row>
  </sheetData>
  <mergeCells count="1"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46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47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48</v>
      </c>
      <c r="B4" s="4" t="s">
        <v>3</v>
      </c>
      <c r="C4" s="4" t="s">
        <v>49</v>
      </c>
      <c r="D4" s="13" t="s">
        <v>50</v>
      </c>
      <c r="E4" s="13"/>
      <c r="F4" s="13"/>
    </row>
    <row r="5" customFormat="false" ht="15" hidden="false" customHeight="false" outlineLevel="0" collapsed="false">
      <c r="A5" s="5" t="s">
        <v>51</v>
      </c>
      <c r="B5" s="14" t="n">
        <v>2500</v>
      </c>
      <c r="C5" s="7" t="s">
        <v>52</v>
      </c>
      <c r="D5" s="2"/>
      <c r="E5" s="2"/>
      <c r="F5" s="2"/>
    </row>
    <row r="6" customFormat="false" ht="15" hidden="false" customHeight="false" outlineLevel="0" collapsed="false">
      <c r="A6" s="5" t="s">
        <v>53</v>
      </c>
      <c r="B6" s="15" t="n">
        <v>30</v>
      </c>
      <c r="C6" s="7" t="s">
        <v>54</v>
      </c>
      <c r="D6" s="2"/>
      <c r="E6" s="2"/>
      <c r="F6" s="2"/>
    </row>
    <row r="7" customFormat="false" ht="15" hidden="false" customHeight="false" outlineLevel="0" collapsed="false">
      <c r="A7" s="5" t="s">
        <v>55</v>
      </c>
      <c r="B7" s="16" t="s">
        <v>56</v>
      </c>
      <c r="C7" s="7" t="s">
        <v>57</v>
      </c>
      <c r="D7" s="2"/>
      <c r="E7" s="2"/>
      <c r="F7" s="2"/>
    </row>
    <row r="8" customFormat="false" ht="15" hidden="false" customHeight="false" outlineLevel="0" collapsed="false">
      <c r="A8" s="5" t="s">
        <v>58</v>
      </c>
      <c r="B8" s="16" t="s">
        <v>17</v>
      </c>
      <c r="C8" s="7" t="s">
        <v>59</v>
      </c>
      <c r="D8" s="2"/>
      <c r="E8" s="2"/>
      <c r="F8" s="2"/>
    </row>
    <row r="9" customFormat="false" ht="25.5" hidden="false" customHeight="true" outlineLevel="0" collapsed="false">
      <c r="A9" s="5" t="s">
        <v>60</v>
      </c>
      <c r="B9" s="16" t="s">
        <v>38</v>
      </c>
      <c r="C9" s="7" t="s">
        <v>61</v>
      </c>
      <c r="D9" s="17" t="str">
        <f aca="false">IF(B8&lt;&gt;"AFP","",IF(B9="AFP Ejemplo","Tasas de prueba: fondo 10%, comisión 1.60%, seguro 1.35%.","Tasas SBS de octubre 2026. Comisión sobre flujo; modelo simplificado sin tope de seguro."))</f>
        <v/>
      </c>
      <c r="E9" s="17"/>
      <c r="F9" s="17"/>
    </row>
    <row r="10" customFormat="false" ht="15" hidden="false" customHeight="false" outlineLevel="0" collapsed="false">
      <c r="A10" s="5" t="s">
        <v>62</v>
      </c>
      <c r="B10" s="18" t="n">
        <v>0</v>
      </c>
      <c r="C10" s="7" t="s">
        <v>63</v>
      </c>
      <c r="D10" s="2"/>
      <c r="E10" s="2"/>
      <c r="F10" s="2"/>
    </row>
    <row r="11" customFormat="false" ht="15" hidden="false" customHeight="false" outlineLevel="0" collapsed="false">
      <c r="A11" s="5" t="s">
        <v>64</v>
      </c>
      <c r="B11" s="18" t="n">
        <v>0</v>
      </c>
      <c r="C11" s="7" t="s">
        <v>63</v>
      </c>
      <c r="D11" s="2"/>
      <c r="E11" s="2"/>
      <c r="F11" s="2"/>
    </row>
    <row r="12" customFormat="false" ht="15" hidden="false" customHeight="false" outlineLevel="0" collapsed="false">
      <c r="A12" s="5" t="s">
        <v>65</v>
      </c>
      <c r="B12" s="14" t="n">
        <v>0</v>
      </c>
      <c r="C12" s="7" t="s">
        <v>63</v>
      </c>
      <c r="D12" s="2"/>
      <c r="E12" s="2"/>
      <c r="F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19" t="s">
        <v>66</v>
      </c>
      <c r="B14" s="20" t="str">
        <f aca="false">IF(OR(NOT(ISNUMBER(B6)),B6&lt;1,B6&gt;30,B6&lt;&gt;INT(B6)),"Los días laborados deben ser un entero entre 1 y 30.",IF(OR(NOT(ISNUMBER(B5)),B5&lt;0),"Sueldo básico: ingresa un número no negativo, sin separadores de miles (hasta 12 enteros y 6 decimales).",IF(OR(NOT(ISNUMBER(B10)),B10&lt;0),"Horas al 25%: ingresa un número no negativo, sin separadores de miles (hasta 12 enteros y 6 decimales).",IF(OR(NOT(ISNUMBER(B11)),B11&lt;0),"Horas al 35%: ingresa un número no negativo, sin separadores de miles (hasta 12 enteros y 6 decimales).",IF(OR(NOT(ISNUMBER(B12)),B12&lt;0),"Adelantos: ingresa un número no negativo, sin separadores de miles (hasta 12 enteros y 6 decimales).",IF(B5=0,"El sueldo básico debe ser mayor que cero.",IF(AND(B8="AFP",ISNA(MATCH(B9,LISTA_AFP,0))),"Selecciona una AFP válida.","OK")))))))</f>
        <v>OK</v>
      </c>
      <c r="C14" s="20"/>
      <c r="D14" s="20"/>
      <c r="E14" s="2"/>
      <c r="F14" s="2"/>
    </row>
    <row r="15" customFormat="false" ht="15" hidden="false" customHeight="false" outlineLevel="0" collapsed="false">
      <c r="A15" s="21" t="s">
        <v>67</v>
      </c>
      <c r="B15" s="22" t="n">
        <f aca="false">B5/DIAS_MES/HORAS_DIA</f>
        <v>10.4166666666667</v>
      </c>
      <c r="C15" s="2"/>
      <c r="D15" s="2"/>
      <c r="E15" s="2"/>
      <c r="F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30" hidden="false" customHeight="true" outlineLevel="0" collapsed="false">
      <c r="A17" s="4" t="s">
        <v>68</v>
      </c>
      <c r="B17" s="4" t="s">
        <v>69</v>
      </c>
      <c r="C17" s="4" t="s">
        <v>70</v>
      </c>
      <c r="D17" s="4" t="s">
        <v>69</v>
      </c>
      <c r="E17" s="4" t="s">
        <v>71</v>
      </c>
      <c r="F17" s="4" t="s">
        <v>69</v>
      </c>
    </row>
    <row r="18" customFormat="false" ht="15" hidden="false" customHeight="false" outlineLevel="0" collapsed="false">
      <c r="A18" s="23" t="s">
        <v>72</v>
      </c>
      <c r="B18" s="24" t="n">
        <f aca="false">ROUND(B5/DIAS_MES*B6,2)</f>
        <v>2500</v>
      </c>
      <c r="C18" s="23" t="s">
        <v>17</v>
      </c>
      <c r="D18" s="24" t="n">
        <f aca="false">IF(B8="ONP",ROUND(B23*TASA_ONP,2),0)</f>
        <v>325</v>
      </c>
      <c r="E18" s="23" t="s">
        <v>73</v>
      </c>
      <c r="F18" s="24" t="n">
        <f aca="false">ROUND(B23*TASA_ESSALUD,2)</f>
        <v>225</v>
      </c>
    </row>
    <row r="19" customFormat="false" ht="15" hidden="false" customHeight="false" outlineLevel="0" collapsed="false">
      <c r="A19" s="23" t="s">
        <v>74</v>
      </c>
      <c r="B19" s="24" t="n">
        <f aca="false">IF(B7="Sí",ASIG_FAMILIAR,0)</f>
        <v>0</v>
      </c>
      <c r="C19" s="23" t="s">
        <v>75</v>
      </c>
      <c r="D19" s="24" t="n">
        <f aca="false">IF(B8="AFP",ROUND(B23*IFERROR(VLOOKUP(B9,TABLA_AFP,2,FALSE()),0),2),0)</f>
        <v>0</v>
      </c>
      <c r="E19" s="25" t="s">
        <v>76</v>
      </c>
      <c r="F19" s="23"/>
    </row>
    <row r="20" customFormat="false" ht="15" hidden="false" customHeight="false" outlineLevel="0" collapsed="false">
      <c r="A20" s="23" t="s">
        <v>62</v>
      </c>
      <c r="B20" s="24" t="n">
        <f aca="false">ROUND(B15*(1+RECARGO_25)*B10,2)</f>
        <v>0</v>
      </c>
      <c r="C20" s="23" t="s">
        <v>77</v>
      </c>
      <c r="D20" s="24" t="n">
        <f aca="false">IF(B8="AFP",ROUND(B23*IFERROR(VLOOKUP(B9,TABLA_AFP,3,FALSE()),0),2),0)</f>
        <v>0</v>
      </c>
      <c r="E20" s="23"/>
      <c r="F20" s="23"/>
    </row>
    <row r="21" customFormat="false" ht="15" hidden="false" customHeight="false" outlineLevel="0" collapsed="false">
      <c r="A21" s="23" t="s">
        <v>64</v>
      </c>
      <c r="B21" s="24" t="n">
        <f aca="false">ROUND(B15*(1+RECARGO_35)*B11,2)</f>
        <v>0</v>
      </c>
      <c r="C21" s="23" t="s">
        <v>78</v>
      </c>
      <c r="D21" s="24" t="n">
        <f aca="false">IF(B8="AFP",ROUND(B23*IFERROR(VLOOKUP(B9,TABLA_AFP,4,FALSE()),0),2),0)</f>
        <v>0</v>
      </c>
      <c r="E21" s="23"/>
      <c r="F21" s="23"/>
    </row>
    <row r="22" customFormat="false" ht="15" hidden="false" customHeight="false" outlineLevel="0" collapsed="false">
      <c r="A22" s="23"/>
      <c r="B22" s="23"/>
      <c r="C22" s="23" t="s">
        <v>79</v>
      </c>
      <c r="D22" s="24" t="n">
        <f aca="false">ROUND(B12,2)</f>
        <v>0</v>
      </c>
      <c r="E22" s="23"/>
      <c r="F22" s="23"/>
    </row>
    <row r="23" customFormat="false" ht="15" hidden="false" customHeight="false" outlineLevel="0" collapsed="false">
      <c r="A23" s="26" t="s">
        <v>80</v>
      </c>
      <c r="B23" s="27" t="n">
        <f aca="false">SUM(B18:B21)</f>
        <v>2500</v>
      </c>
      <c r="C23" s="26" t="s">
        <v>81</v>
      </c>
      <c r="D23" s="27" t="n">
        <f aca="false">SUM(D18:D22)</f>
        <v>325</v>
      </c>
      <c r="E23" s="23"/>
      <c r="F23" s="23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6.15" hidden="false" customHeight="false" outlineLevel="0" collapsed="false">
      <c r="A25" s="28" t="s">
        <v>82</v>
      </c>
      <c r="B25" s="29" t="n">
        <f aca="false">IF(B14="OK",B23-D23,"—")</f>
        <v>2175</v>
      </c>
      <c r="C25" s="30" t="str">
        <f aca="false">IF(B14&lt;&gt;"OK","No se calcula: "&amp;B14,IF(B25&lt;0,"El adelanto supera el saldo disponible.",""))</f>
        <v/>
      </c>
      <c r="D25" s="30"/>
      <c r="E25" s="30"/>
      <c r="F25" s="30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</row>
    <row r="27" customFormat="false" ht="15" hidden="false" customHeight="false" outlineLevel="0" collapsed="false">
      <c r="A27" s="31" t="s">
        <v>83</v>
      </c>
      <c r="B27" s="2"/>
      <c r="C27" s="2"/>
      <c r="D27" s="2"/>
      <c r="E27" s="2"/>
      <c r="F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</row>
    <row r="29" customFormat="false" ht="15" hidden="false" customHeight="false" outlineLevel="0" collapsed="false">
      <c r="A29" s="32" t="s">
        <v>84</v>
      </c>
      <c r="B29" s="2"/>
      <c r="C29" s="2"/>
      <c r="D29" s="2"/>
      <c r="E29" s="2"/>
      <c r="F29" s="2"/>
    </row>
    <row r="30" customFormat="false" ht="15" hidden="false" customHeight="false" outlineLevel="0" collapsed="false">
      <c r="A30" s="2" t="s">
        <v>85</v>
      </c>
      <c r="B30" s="33" t="n">
        <f aca="false">IF(B14="OK",B23+F18,"—")</f>
        <v>2725</v>
      </c>
      <c r="C30" s="2"/>
      <c r="D30" s="2"/>
      <c r="E30" s="2"/>
      <c r="F30" s="2"/>
    </row>
    <row r="31" customFormat="false" ht="15" hidden="false" customHeight="false" outlineLevel="0" collapsed="false">
      <c r="A31" s="2" t="s">
        <v>86</v>
      </c>
      <c r="B31" s="34" t="n">
        <f aca="false">IF(B14&lt;&gt;"OK","—",IF(B23=0,0,B25/B23))</f>
        <v>0.87</v>
      </c>
      <c r="C31" s="2"/>
      <c r="D31" s="2"/>
      <c r="E31" s="2"/>
      <c r="F31" s="2"/>
    </row>
  </sheetData>
  <mergeCells count="4">
    <mergeCell ref="D4:F4"/>
    <mergeCell ref="D9:F9"/>
    <mergeCell ref="B14:D14"/>
    <mergeCell ref="C25:F25"/>
  </mergeCells>
  <conditionalFormatting sqref="B14">
    <cfRule type="expression" priority="2" aboveAverage="0" equalAverage="0" bottom="0" percent="0" rank="0" text="" dxfId="0">
      <formula>$B$14&lt;&gt;"OK"</formula>
    </cfRule>
    <cfRule type="expression" priority="3" aboveAverage="0" equalAverage="0" bottom="0" percent="0" rank="0" text="" dxfId="1">
      <formula>$B$14="OK"</formula>
    </cfRule>
  </conditionalFormatting>
  <conditionalFormatting sqref="A17:F23">
    <cfRule type="expression" priority="4" aboveAverage="0" equalAverage="0" bottom="0" percent="0" rank="0" text="" dxfId="2">
      <formula>$B$14&lt;&gt;"OK"</formula>
    </cfRule>
  </conditionalFormatting>
  <dataValidations count="3">
    <dataValidation allowBlank="false" errorStyle="stop" operator="between" showDropDown="false" showErrorMessage="false" showInputMessage="false" sqref="B7" type="list">
      <formula1>"No,Sí"</formula1>
      <formula2>0</formula2>
    </dataValidation>
    <dataValidation allowBlank="false" errorStyle="stop" operator="between" showDropDown="false" showErrorMessage="false" showInputMessage="false" sqref="B8" type="list">
      <formula1>"ONP,AFP"</formula1>
      <formula2>0</formula2>
    </dataValidation>
    <dataValidation allowBlank="false" errorStyle="stop" operator="between" showDropDown="false" showErrorMessage="false" showInputMessage="false" sqref="B9" type="list">
      <formula1>LISTA_AFP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5" min="4" style="0" width="7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9" min="8" style="0" width="8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5" min="14" style="0" width="10"/>
    <col collapsed="false" customWidth="true" hidden="false" outlineLevel="0" max="16" min="16" style="0" width="13"/>
    <col collapsed="false" customWidth="true" hidden="false" outlineLevel="0" max="18" min="17" style="0" width="10"/>
    <col collapsed="false" customWidth="true" hidden="false" outlineLevel="0" max="19" min="19" style="0" width="11"/>
    <col collapsed="false" customWidth="true" hidden="false" outlineLevel="0" max="21" min="20" style="0" width="10"/>
    <col collapsed="false" customWidth="true" hidden="false" outlineLevel="0" max="23" min="22" style="0" width="12"/>
    <col collapsed="false" customWidth="true" hidden="false" outlineLevel="0" max="25" min="24" style="0" width="10"/>
    <col collapsed="false" customWidth="true" hidden="false" outlineLevel="0" max="26" min="26" style="0" width="13"/>
    <col collapsed="false" customWidth="true" hidden="false" outlineLevel="0" max="30" min="27" style="0" width="11"/>
    <col collapsed="false" customWidth="true" hidden="false" outlineLevel="0" max="31" min="31" style="0" width="13"/>
    <col collapsed="false" customWidth="true" hidden="false" outlineLevel="0" max="32" min="32" style="0" width="10"/>
  </cols>
  <sheetData>
    <row r="1" customFormat="false" ht="17.35" hidden="false" customHeight="false" outlineLevel="0" collapsed="false">
      <c r="A1" s="1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5" hidden="false" customHeight="false" outlineLevel="0" collapsed="false">
      <c r="A2" s="3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customFormat="false" ht="45" hidden="false" customHeight="true" outlineLevel="0" collapsed="false">
      <c r="A4" s="4" t="s">
        <v>89</v>
      </c>
      <c r="B4" s="4" t="s">
        <v>90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34</v>
      </c>
      <c r="H4" s="4" t="s">
        <v>95</v>
      </c>
      <c r="I4" s="4" t="s">
        <v>96</v>
      </c>
      <c r="J4" s="4" t="s">
        <v>97</v>
      </c>
      <c r="K4" s="4" t="s">
        <v>98</v>
      </c>
      <c r="L4" s="4" t="s">
        <v>72</v>
      </c>
      <c r="M4" s="4" t="s">
        <v>99</v>
      </c>
      <c r="N4" s="4" t="s">
        <v>100</v>
      </c>
      <c r="O4" s="4" t="s">
        <v>101</v>
      </c>
      <c r="P4" s="4" t="s">
        <v>80</v>
      </c>
      <c r="Q4" s="4" t="s">
        <v>17</v>
      </c>
      <c r="R4" s="4" t="s">
        <v>75</v>
      </c>
      <c r="S4" s="4" t="s">
        <v>77</v>
      </c>
      <c r="T4" s="4" t="s">
        <v>78</v>
      </c>
      <c r="U4" s="4" t="s">
        <v>79</v>
      </c>
      <c r="V4" s="4" t="s">
        <v>81</v>
      </c>
      <c r="W4" s="4" t="s">
        <v>102</v>
      </c>
      <c r="X4" s="4" t="s">
        <v>103</v>
      </c>
      <c r="Y4" s="4" t="s">
        <v>104</v>
      </c>
      <c r="Z4" s="4" t="s">
        <v>105</v>
      </c>
      <c r="AA4" s="4" t="s">
        <v>106</v>
      </c>
      <c r="AB4" s="4" t="s">
        <v>107</v>
      </c>
      <c r="AC4" s="4" t="s">
        <v>108</v>
      </c>
      <c r="AD4" s="4" t="s">
        <v>109</v>
      </c>
      <c r="AE4" s="4" t="s">
        <v>110</v>
      </c>
      <c r="AF4" s="4" t="s">
        <v>111</v>
      </c>
    </row>
    <row r="5" customFormat="false" ht="15" hidden="false" customHeight="false" outlineLevel="0" collapsed="false">
      <c r="A5" s="23" t="s">
        <v>112</v>
      </c>
      <c r="B5" s="23" t="s">
        <v>113</v>
      </c>
      <c r="C5" s="14" t="n">
        <v>2500</v>
      </c>
      <c r="D5" s="16" t="n">
        <v>30</v>
      </c>
      <c r="E5" s="16" t="s">
        <v>56</v>
      </c>
      <c r="F5" s="16" t="s">
        <v>17</v>
      </c>
      <c r="G5" s="16" t="s">
        <v>38</v>
      </c>
      <c r="H5" s="16" t="n">
        <v>0</v>
      </c>
      <c r="I5" s="16" t="n">
        <v>0</v>
      </c>
      <c r="J5" s="14" t="n">
        <v>0</v>
      </c>
      <c r="K5" s="35" t="n">
        <f aca="false">C5/DIAS_MES/HORAS_DIA</f>
        <v>10.4166666666667</v>
      </c>
      <c r="L5" s="24" t="n">
        <f aca="false">ROUND(C5/DIAS_MES*D5,2)</f>
        <v>2500</v>
      </c>
      <c r="M5" s="24" t="n">
        <f aca="false">IF(E5="Sí",ASIG_FAMILIAR,0)</f>
        <v>0</v>
      </c>
      <c r="N5" s="24" t="n">
        <f aca="false">ROUND(K5*(1+RECARGO_25)*H5,2)</f>
        <v>0</v>
      </c>
      <c r="O5" s="24" t="n">
        <f aca="false">ROUND(K5*(1+RECARGO_35)*I5,2)</f>
        <v>0</v>
      </c>
      <c r="P5" s="24" t="n">
        <f aca="false">SUM(L5:O5)</f>
        <v>2500</v>
      </c>
      <c r="Q5" s="24" t="n">
        <f aca="false">IF(F5="ONP",ROUND(P5*TASA_ONP,2),0)</f>
        <v>325</v>
      </c>
      <c r="R5" s="24" t="n">
        <f aca="false">IF(F5="AFP",ROUND(P5*IFERROR(VLOOKUP(G5,TABLA_AFP,2,FALSE()),0),2),0)</f>
        <v>0</v>
      </c>
      <c r="S5" s="24" t="n">
        <f aca="false">IF(F5="AFP",ROUND(P5*IFERROR(VLOOKUP(G5,TABLA_AFP,3,FALSE()),0),2),0)</f>
        <v>0</v>
      </c>
      <c r="T5" s="24" t="n">
        <f aca="false">IF(F5="AFP",ROUND(P5*IFERROR(VLOOKUP(G5,TABLA_AFP,4,FALSE()),0),2),0)</f>
        <v>0</v>
      </c>
      <c r="U5" s="24" t="n">
        <f aca="false">ROUND(J5,2)</f>
        <v>0</v>
      </c>
      <c r="V5" s="24" t="n">
        <f aca="false">SUM(Q5:U5)</f>
        <v>325</v>
      </c>
      <c r="W5" s="24" t="n">
        <f aca="false">P5-V5</f>
        <v>2175</v>
      </c>
      <c r="X5" s="24" t="n">
        <f aca="false">ROUND(P5*TASA_ESSALUD,2)</f>
        <v>225</v>
      </c>
      <c r="Y5" s="36" t="n">
        <f aca="false">IF(P5=0,0,W5/P5)</f>
        <v>0.87</v>
      </c>
      <c r="Z5" s="24" t="n">
        <v>2175</v>
      </c>
      <c r="AA5" s="6" t="n">
        <v>2500</v>
      </c>
      <c r="AB5" s="6" t="n">
        <v>325</v>
      </c>
      <c r="AC5" s="6" t="n">
        <v>2175</v>
      </c>
      <c r="AD5" s="6" t="n">
        <v>225</v>
      </c>
      <c r="AE5" s="24" t="n">
        <f aca="false">ROUND(IF(AA5="",0,ABS(P5-AA5))+IF(AB5="",0,ABS(V5-AB5))+IF(AC5="",0,ABS(W5-AC5))+IF(AD5="",0,ABS(X5-AD5)),2)</f>
        <v>0</v>
      </c>
      <c r="AF5" s="37" t="str">
        <f aca="false">IF(AE5&lt;&gt;0,"Revisar",IF(Z5="—","Sí",IF(ROUND(W5-Z5,2)=0,"Sí","Revisar")))</f>
        <v>Sí</v>
      </c>
    </row>
    <row r="6" customFormat="false" ht="15" hidden="false" customHeight="false" outlineLevel="0" collapsed="false">
      <c r="A6" s="23" t="s">
        <v>114</v>
      </c>
      <c r="B6" s="23" t="s">
        <v>115</v>
      </c>
      <c r="C6" s="14" t="n">
        <v>1800</v>
      </c>
      <c r="D6" s="16" t="n">
        <v>27</v>
      </c>
      <c r="E6" s="16" t="s">
        <v>116</v>
      </c>
      <c r="F6" s="16" t="s">
        <v>17</v>
      </c>
      <c r="G6" s="16" t="s">
        <v>38</v>
      </c>
      <c r="H6" s="16" t="n">
        <v>0</v>
      </c>
      <c r="I6" s="16" t="n">
        <v>0</v>
      </c>
      <c r="J6" s="14" t="n">
        <v>0</v>
      </c>
      <c r="K6" s="35" t="n">
        <f aca="false">C6/DIAS_MES/HORAS_DIA</f>
        <v>7.5</v>
      </c>
      <c r="L6" s="24" t="n">
        <f aca="false">ROUND(C6/DIAS_MES*D6,2)</f>
        <v>1620</v>
      </c>
      <c r="M6" s="24" t="n">
        <f aca="false">IF(E6="Sí",ASIG_FAMILIAR,0)</f>
        <v>123</v>
      </c>
      <c r="N6" s="24" t="n">
        <f aca="false">ROUND(K6*(1+RECARGO_25)*H6,2)</f>
        <v>0</v>
      </c>
      <c r="O6" s="24" t="n">
        <f aca="false">ROUND(K6*(1+RECARGO_35)*I6,2)</f>
        <v>0</v>
      </c>
      <c r="P6" s="24" t="n">
        <f aca="false">SUM(L6:O6)</f>
        <v>1743</v>
      </c>
      <c r="Q6" s="24" t="n">
        <f aca="false">IF(F6="ONP",ROUND(P6*TASA_ONP,2),0)</f>
        <v>226.59</v>
      </c>
      <c r="R6" s="24" t="n">
        <f aca="false">IF(F6="AFP",ROUND(P6*IFERROR(VLOOKUP(G6,TABLA_AFP,2,FALSE()),0),2),0)</f>
        <v>0</v>
      </c>
      <c r="S6" s="24" t="n">
        <f aca="false">IF(F6="AFP",ROUND(P6*IFERROR(VLOOKUP(G6,TABLA_AFP,3,FALSE()),0),2),0)</f>
        <v>0</v>
      </c>
      <c r="T6" s="24" t="n">
        <f aca="false">IF(F6="AFP",ROUND(P6*IFERROR(VLOOKUP(G6,TABLA_AFP,4,FALSE()),0),2),0)</f>
        <v>0</v>
      </c>
      <c r="U6" s="24" t="n">
        <f aca="false">ROUND(J6,2)</f>
        <v>0</v>
      </c>
      <c r="V6" s="24" t="n">
        <f aca="false">SUM(Q6:U6)</f>
        <v>226.59</v>
      </c>
      <c r="W6" s="24" t="n">
        <f aca="false">P6-V6</f>
        <v>1516.41</v>
      </c>
      <c r="X6" s="24" t="n">
        <f aca="false">ROUND(P6*TASA_ESSALUD,2)</f>
        <v>156.87</v>
      </c>
      <c r="Y6" s="36" t="n">
        <f aca="false">IF(P6=0,0,W6/P6)</f>
        <v>0.87</v>
      </c>
      <c r="Z6" s="24" t="n">
        <v>1516.41</v>
      </c>
      <c r="AA6" s="6" t="n">
        <v>1743</v>
      </c>
      <c r="AB6" s="6" t="n">
        <v>226.59</v>
      </c>
      <c r="AC6" s="6" t="n">
        <v>1516.41</v>
      </c>
      <c r="AD6" s="6" t="n">
        <v>156.87</v>
      </c>
      <c r="AE6" s="24" t="n">
        <f aca="false">ROUND(IF(AA6="",0,ABS(P6-AA6))+IF(AB6="",0,ABS(V6-AB6))+IF(AC6="",0,ABS(W6-AC6))+IF(AD6="",0,ABS(X6-AD6)),2)</f>
        <v>0</v>
      </c>
      <c r="AF6" s="37" t="str">
        <f aca="false">IF(AE6&lt;&gt;0,"Revisar",IF(Z6="—","Sí",IF(ROUND(W6-Z6,2)=0,"Sí","Revisar")))</f>
        <v>Sí</v>
      </c>
    </row>
    <row r="7" customFormat="false" ht="15" hidden="false" customHeight="false" outlineLevel="0" collapsed="false">
      <c r="A7" s="23" t="s">
        <v>117</v>
      </c>
      <c r="B7" s="23" t="s">
        <v>118</v>
      </c>
      <c r="C7" s="14" t="n">
        <v>3000</v>
      </c>
      <c r="D7" s="16" t="n">
        <v>30</v>
      </c>
      <c r="E7" s="16" t="s">
        <v>116</v>
      </c>
      <c r="F7" s="16" t="s">
        <v>34</v>
      </c>
      <c r="G7" s="16" t="s">
        <v>38</v>
      </c>
      <c r="H7" s="16" t="n">
        <v>4</v>
      </c>
      <c r="I7" s="16" t="n">
        <v>4</v>
      </c>
      <c r="J7" s="14" t="n">
        <v>200</v>
      </c>
      <c r="K7" s="35" t="n">
        <f aca="false">C7/DIAS_MES/HORAS_DIA</f>
        <v>12.5</v>
      </c>
      <c r="L7" s="24" t="n">
        <f aca="false">ROUND(C7/DIAS_MES*D7,2)</f>
        <v>3000</v>
      </c>
      <c r="M7" s="24" t="n">
        <f aca="false">IF(E7="Sí",ASIG_FAMILIAR,0)</f>
        <v>123</v>
      </c>
      <c r="N7" s="24" t="n">
        <f aca="false">ROUND(K7*(1+RECARGO_25)*H7,2)</f>
        <v>62.5</v>
      </c>
      <c r="O7" s="24" t="n">
        <f aca="false">ROUND(K7*(1+RECARGO_35)*I7,2)</f>
        <v>67.5</v>
      </c>
      <c r="P7" s="24" t="n">
        <f aca="false">SUM(L7:O7)</f>
        <v>3253</v>
      </c>
      <c r="Q7" s="24" t="n">
        <f aca="false">IF(F7="ONP",ROUND(P7*TASA_ONP,2),0)</f>
        <v>0</v>
      </c>
      <c r="R7" s="24" t="n">
        <f aca="false">IF(F7="AFP",ROUND(P7*IFERROR(VLOOKUP(G7,TABLA_AFP,2,FALSE()),0),2),0)</f>
        <v>325.3</v>
      </c>
      <c r="S7" s="24" t="n">
        <f aca="false">IF(F7="AFP",ROUND(P7*IFERROR(VLOOKUP(G7,TABLA_AFP,3,FALSE()),0),2),0)</f>
        <v>52.05</v>
      </c>
      <c r="T7" s="24" t="n">
        <f aca="false">IF(F7="AFP",ROUND(P7*IFERROR(VLOOKUP(G7,TABLA_AFP,4,FALSE()),0),2),0)</f>
        <v>43.92</v>
      </c>
      <c r="U7" s="24" t="n">
        <f aca="false">ROUND(J7,2)</f>
        <v>200</v>
      </c>
      <c r="V7" s="24" t="n">
        <f aca="false">SUM(Q7:U7)</f>
        <v>621.27</v>
      </c>
      <c r="W7" s="24" t="n">
        <f aca="false">P7-V7</f>
        <v>2631.73</v>
      </c>
      <c r="X7" s="24" t="n">
        <f aca="false">ROUND(P7*TASA_ESSALUD,2)</f>
        <v>292.77</v>
      </c>
      <c r="Y7" s="36" t="n">
        <f aca="false">IF(P7=0,0,W7/P7)</f>
        <v>0.809016292652936</v>
      </c>
      <c r="Z7" s="24" t="n">
        <v>2631.73</v>
      </c>
      <c r="AA7" s="6" t="n">
        <v>3253</v>
      </c>
      <c r="AB7" s="6" t="n">
        <v>621.27</v>
      </c>
      <c r="AC7" s="6" t="n">
        <v>2631.73</v>
      </c>
      <c r="AD7" s="6" t="n">
        <v>292.77</v>
      </c>
      <c r="AE7" s="24" t="n">
        <f aca="false">ROUND(IF(AA7="",0,ABS(P7-AA7))+IF(AB7="",0,ABS(V7-AB7))+IF(AC7="",0,ABS(W7-AC7))+IF(AD7="",0,ABS(X7-AD7)),2)</f>
        <v>0</v>
      </c>
      <c r="AF7" s="37" t="str">
        <f aca="false">IF(AE7&lt;&gt;0,"Revisar",IF(Z7="—","Sí",IF(ROUND(W7-Z7,2)=0,"Sí","Revisar")))</f>
        <v>Sí</v>
      </c>
    </row>
    <row r="8" customFormat="false" ht="15" hidden="false" customHeight="false" outlineLevel="0" collapsed="false">
      <c r="A8" s="23" t="s">
        <v>119</v>
      </c>
      <c r="B8" s="23" t="s">
        <v>120</v>
      </c>
      <c r="C8" s="14" t="n">
        <v>4200</v>
      </c>
      <c r="D8" s="16" t="n">
        <v>24</v>
      </c>
      <c r="E8" s="16" t="s">
        <v>116</v>
      </c>
      <c r="F8" s="16" t="s">
        <v>34</v>
      </c>
      <c r="G8" s="16" t="s">
        <v>38</v>
      </c>
      <c r="H8" s="16" t="n">
        <v>2</v>
      </c>
      <c r="I8" s="16" t="n">
        <v>2</v>
      </c>
      <c r="J8" s="14" t="n">
        <v>100</v>
      </c>
      <c r="K8" s="35" t="n">
        <f aca="false">C8/DIAS_MES/HORAS_DIA</f>
        <v>17.5</v>
      </c>
      <c r="L8" s="24" t="n">
        <f aca="false">ROUND(C8/DIAS_MES*D8,2)</f>
        <v>3360</v>
      </c>
      <c r="M8" s="24" t="n">
        <f aca="false">IF(E8="Sí",ASIG_FAMILIAR,0)</f>
        <v>123</v>
      </c>
      <c r="N8" s="24" t="n">
        <f aca="false">ROUND(K8*(1+RECARGO_25)*H8,2)</f>
        <v>43.75</v>
      </c>
      <c r="O8" s="24" t="n">
        <f aca="false">ROUND(K8*(1+RECARGO_35)*I8,2)</f>
        <v>47.25</v>
      </c>
      <c r="P8" s="24" t="n">
        <f aca="false">SUM(L8:O8)</f>
        <v>3574</v>
      </c>
      <c r="Q8" s="24" t="n">
        <f aca="false">IF(F8="ONP",ROUND(P8*TASA_ONP,2),0)</f>
        <v>0</v>
      </c>
      <c r="R8" s="24" t="n">
        <f aca="false">IF(F8="AFP",ROUND(P8*IFERROR(VLOOKUP(G8,TABLA_AFP,2,FALSE()),0),2),0)</f>
        <v>357.4</v>
      </c>
      <c r="S8" s="24" t="n">
        <f aca="false">IF(F8="AFP",ROUND(P8*IFERROR(VLOOKUP(G8,TABLA_AFP,3,FALSE()),0),2),0)</f>
        <v>57.18</v>
      </c>
      <c r="T8" s="24" t="n">
        <f aca="false">IF(F8="AFP",ROUND(P8*IFERROR(VLOOKUP(G8,TABLA_AFP,4,FALSE()),0),2),0)</f>
        <v>48.25</v>
      </c>
      <c r="U8" s="24" t="n">
        <f aca="false">ROUND(J8,2)</f>
        <v>100</v>
      </c>
      <c r="V8" s="24" t="n">
        <f aca="false">SUM(Q8:U8)</f>
        <v>562.83</v>
      </c>
      <c r="W8" s="24" t="n">
        <f aca="false">P8-V8</f>
        <v>3011.17</v>
      </c>
      <c r="X8" s="24" t="n">
        <f aca="false">ROUND(P8*TASA_ESSALUD,2)</f>
        <v>321.66</v>
      </c>
      <c r="Y8" s="36" t="n">
        <f aca="false">IF(P8=0,0,W8/P8)</f>
        <v>0.842520984890879</v>
      </c>
      <c r="Z8" s="24" t="s">
        <v>121</v>
      </c>
      <c r="AA8" s="6" t="n">
        <v>3574</v>
      </c>
      <c r="AB8" s="6" t="n">
        <v>562.83</v>
      </c>
      <c r="AC8" s="6" t="n">
        <v>3011.17</v>
      </c>
      <c r="AD8" s="6" t="n">
        <v>321.66</v>
      </c>
      <c r="AE8" s="24" t="n">
        <f aca="false">ROUND(IF(AA8="",0,ABS(P8-AA8))+IF(AB8="",0,ABS(V8-AB8))+IF(AC8="",0,ABS(W8-AC8))+IF(AD8="",0,ABS(X8-AD8)),2)</f>
        <v>0</v>
      </c>
      <c r="AF8" s="37" t="str">
        <f aca="false">IF(AE8&lt;&gt;0,"Revisar",IF(Z8="—","Sí",IF(ROUND(W8-Z8,2)=0,"Sí","Revisar")))</f>
        <v>Sí</v>
      </c>
    </row>
    <row r="9" customFormat="false" ht="15" hidden="false" customHeight="false" outlineLevel="0" collapsed="false">
      <c r="A9" s="23" t="s">
        <v>122</v>
      </c>
      <c r="B9" s="23" t="s">
        <v>123</v>
      </c>
      <c r="C9" s="14" t="n">
        <v>2300</v>
      </c>
      <c r="D9" s="16" t="n">
        <v>30</v>
      </c>
      <c r="E9" s="16" t="s">
        <v>56</v>
      </c>
      <c r="F9" s="16" t="s">
        <v>17</v>
      </c>
      <c r="G9" s="16" t="s">
        <v>38</v>
      </c>
      <c r="H9" s="16" t="n">
        <v>0</v>
      </c>
      <c r="I9" s="16" t="n">
        <v>0</v>
      </c>
      <c r="J9" s="14" t="n">
        <v>0</v>
      </c>
      <c r="K9" s="35" t="n">
        <f aca="false">C9/DIAS_MES/HORAS_DIA</f>
        <v>9.58333333333333</v>
      </c>
      <c r="L9" s="24" t="n">
        <f aca="false">ROUND(C9/DIAS_MES*D9,2)</f>
        <v>2300</v>
      </c>
      <c r="M9" s="24" t="n">
        <f aca="false">IF(E9="Sí",ASIG_FAMILIAR,0)</f>
        <v>0</v>
      </c>
      <c r="N9" s="24" t="n">
        <f aca="false">ROUND(K9*(1+RECARGO_25)*H9,2)</f>
        <v>0</v>
      </c>
      <c r="O9" s="24" t="n">
        <f aca="false">ROUND(K9*(1+RECARGO_35)*I9,2)</f>
        <v>0</v>
      </c>
      <c r="P9" s="24" t="n">
        <f aca="false">SUM(L9:O9)</f>
        <v>2300</v>
      </c>
      <c r="Q9" s="24" t="n">
        <f aca="false">IF(F9="ONP",ROUND(P9*TASA_ONP,2),0)</f>
        <v>299</v>
      </c>
      <c r="R9" s="24" t="n">
        <f aca="false">IF(F9="AFP",ROUND(P9*IFERROR(VLOOKUP(G9,TABLA_AFP,2,FALSE()),0),2),0)</f>
        <v>0</v>
      </c>
      <c r="S9" s="24" t="n">
        <f aca="false">IF(F9="AFP",ROUND(P9*IFERROR(VLOOKUP(G9,TABLA_AFP,3,FALSE()),0),2),0)</f>
        <v>0</v>
      </c>
      <c r="T9" s="24" t="n">
        <f aca="false">IF(F9="AFP",ROUND(P9*IFERROR(VLOOKUP(G9,TABLA_AFP,4,FALSE()),0),2),0)</f>
        <v>0</v>
      </c>
      <c r="U9" s="24" t="n">
        <f aca="false">ROUND(J9,2)</f>
        <v>0</v>
      </c>
      <c r="V9" s="24" t="n">
        <f aca="false">SUM(Q9:U9)</f>
        <v>299</v>
      </c>
      <c r="W9" s="24" t="n">
        <f aca="false">P9-V9</f>
        <v>2001</v>
      </c>
      <c r="X9" s="24" t="n">
        <f aca="false">ROUND(P9*TASA_ESSALUD,2)</f>
        <v>207</v>
      </c>
      <c r="Y9" s="36" t="n">
        <f aca="false">IF(P9=0,0,W9/P9)</f>
        <v>0.87</v>
      </c>
      <c r="Z9" s="24" t="s">
        <v>121</v>
      </c>
      <c r="AA9" s="6" t="n">
        <v>2300</v>
      </c>
      <c r="AB9" s="6" t="n">
        <v>299</v>
      </c>
      <c r="AC9" s="6" t="n">
        <v>2001</v>
      </c>
      <c r="AD9" s="6" t="n">
        <v>207</v>
      </c>
      <c r="AE9" s="24" t="n">
        <f aca="false">ROUND(IF(AA9="",0,ABS(P9-AA9))+IF(AB9="",0,ABS(V9-AB9))+IF(AC9="",0,ABS(W9-AC9))+IF(AD9="",0,ABS(X9-AD9)),2)</f>
        <v>0</v>
      </c>
      <c r="AF9" s="37" t="str">
        <f aca="false">IF(AE9&lt;&gt;0,"Revisar",IF(Z9="—","Sí",IF(ROUND(W9-Z9,2)=0,"Sí","Revisar")))</f>
        <v>Sí</v>
      </c>
    </row>
    <row r="10" customFormat="false" ht="15" hidden="false" customHeight="false" outlineLevel="0" collapsed="false">
      <c r="A10" s="23" t="s">
        <v>124</v>
      </c>
      <c r="B10" s="23" t="s">
        <v>125</v>
      </c>
      <c r="C10" s="14" t="n">
        <v>2500</v>
      </c>
      <c r="D10" s="16" t="n">
        <v>30</v>
      </c>
      <c r="E10" s="16" t="s">
        <v>56</v>
      </c>
      <c r="F10" s="16" t="s">
        <v>34</v>
      </c>
      <c r="G10" s="16" t="s">
        <v>40</v>
      </c>
      <c r="H10" s="16" t="n">
        <v>0</v>
      </c>
      <c r="I10" s="16" t="n">
        <v>0</v>
      </c>
      <c r="J10" s="14" t="n">
        <v>0</v>
      </c>
      <c r="K10" s="35" t="n">
        <f aca="false">C10/DIAS_MES/HORAS_DIA</f>
        <v>10.4166666666667</v>
      </c>
      <c r="L10" s="24" t="n">
        <f aca="false">ROUND(C10/DIAS_MES*D10,2)</f>
        <v>2500</v>
      </c>
      <c r="M10" s="24" t="n">
        <f aca="false">IF(E10="Sí",ASIG_FAMILIAR,0)</f>
        <v>0</v>
      </c>
      <c r="N10" s="24" t="n">
        <f aca="false">ROUND(K10*(1+RECARGO_25)*H10,2)</f>
        <v>0</v>
      </c>
      <c r="O10" s="24" t="n">
        <f aca="false">ROUND(K10*(1+RECARGO_35)*I10,2)</f>
        <v>0</v>
      </c>
      <c r="P10" s="24" t="n">
        <f aca="false">SUM(L10:O10)</f>
        <v>2500</v>
      </c>
      <c r="Q10" s="24" t="n">
        <f aca="false">IF(F10="ONP",ROUND(P10*TASA_ONP,2),0)</f>
        <v>0</v>
      </c>
      <c r="R10" s="24" t="n">
        <f aca="false">IF(F10="AFP",ROUND(P10*IFERROR(VLOOKUP(G10,TABLA_AFP,2,FALSE()),0),2),0)</f>
        <v>250</v>
      </c>
      <c r="S10" s="24" t="n">
        <f aca="false">IF(F10="AFP",ROUND(P10*IFERROR(VLOOKUP(G10,TABLA_AFP,3,FALSE()),0),2),0)</f>
        <v>36.75</v>
      </c>
      <c r="T10" s="24" t="n">
        <f aca="false">IF(F10="AFP",ROUND(P10*IFERROR(VLOOKUP(G10,TABLA_AFP,4,FALSE()),0),2),0)</f>
        <v>34.25</v>
      </c>
      <c r="U10" s="24" t="n">
        <f aca="false">ROUND(J10,2)</f>
        <v>0</v>
      </c>
      <c r="V10" s="24" t="n">
        <f aca="false">SUM(Q10:U10)</f>
        <v>321</v>
      </c>
      <c r="W10" s="24" t="n">
        <f aca="false">P10-V10</f>
        <v>2179</v>
      </c>
      <c r="X10" s="24" t="n">
        <f aca="false">ROUND(P10*TASA_ESSALUD,2)</f>
        <v>225</v>
      </c>
      <c r="Y10" s="36" t="n">
        <f aca="false">IF(P10=0,0,W10/P10)</f>
        <v>0.8716</v>
      </c>
      <c r="Z10" s="24" t="s">
        <v>121</v>
      </c>
      <c r="AA10" s="6" t="n">
        <v>2500</v>
      </c>
      <c r="AB10" s="6" t="n">
        <v>321</v>
      </c>
      <c r="AC10" s="6" t="n">
        <v>2179</v>
      </c>
      <c r="AD10" s="6" t="n">
        <v>225</v>
      </c>
      <c r="AE10" s="24" t="n">
        <f aca="false">ROUND(IF(AA10="",0,ABS(P10-AA10))+IF(AB10="",0,ABS(V10-AB10))+IF(AC10="",0,ABS(W10-AC10))+IF(AD10="",0,ABS(X10-AD10)),2)</f>
        <v>0</v>
      </c>
      <c r="AF10" s="37" t="str">
        <f aca="false">IF(AE10&lt;&gt;0,"Revisar",IF(Z10="—","Sí",IF(ROUND(W10-Z10,2)=0,"Sí","Revisar")))</f>
        <v>Sí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customFormat="false" ht="15" hidden="false" customHeight="false" outlineLevel="0" collapsed="false">
      <c r="A12" s="3" t="s">
        <v>126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customFormat="false" ht="15" hidden="false" customHeight="false" outlineLevel="0" collapsed="false">
      <c r="A15" s="11" t="s">
        <v>127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customFormat="false" ht="45" hidden="false" customHeight="true" outlineLevel="0" collapsed="false">
      <c r="A16" s="4" t="s">
        <v>89</v>
      </c>
      <c r="B16" s="4" t="s">
        <v>90</v>
      </c>
      <c r="C16" s="4" t="s">
        <v>91</v>
      </c>
      <c r="D16" s="4" t="s">
        <v>92</v>
      </c>
      <c r="E16" s="4" t="s">
        <v>93</v>
      </c>
      <c r="F16" s="4" t="s">
        <v>94</v>
      </c>
      <c r="G16" s="4" t="s">
        <v>34</v>
      </c>
      <c r="H16" s="4" t="s">
        <v>95</v>
      </c>
      <c r="I16" s="4" t="s">
        <v>96</v>
      </c>
      <c r="J16" s="4" t="s">
        <v>97</v>
      </c>
      <c r="K16" s="4" t="s">
        <v>98</v>
      </c>
      <c r="L16" s="4" t="s">
        <v>72</v>
      </c>
      <c r="M16" s="4" t="s">
        <v>99</v>
      </c>
      <c r="N16" s="4" t="s">
        <v>100</v>
      </c>
      <c r="O16" s="4" t="s">
        <v>101</v>
      </c>
      <c r="P16" s="4" t="s">
        <v>80</v>
      </c>
      <c r="Q16" s="4" t="s">
        <v>17</v>
      </c>
      <c r="R16" s="4" t="s">
        <v>75</v>
      </c>
      <c r="S16" s="4" t="s">
        <v>77</v>
      </c>
      <c r="T16" s="4" t="s">
        <v>78</v>
      </c>
      <c r="U16" s="4" t="s">
        <v>79</v>
      </c>
      <c r="V16" s="4" t="s">
        <v>81</v>
      </c>
      <c r="W16" s="4" t="s">
        <v>102</v>
      </c>
      <c r="X16" s="4" t="s">
        <v>103</v>
      </c>
      <c r="Y16" s="4" t="s">
        <v>104</v>
      </c>
      <c r="Z16" s="2"/>
      <c r="AA16" s="2"/>
      <c r="AB16" s="2"/>
      <c r="AC16" s="2"/>
      <c r="AD16" s="2"/>
      <c r="AE16" s="2"/>
      <c r="AF16" s="2"/>
    </row>
    <row r="17" customFormat="false" ht="15" hidden="false" customHeight="false" outlineLevel="0" collapsed="false">
      <c r="A17" s="23" t="s">
        <v>128</v>
      </c>
      <c r="B17" s="23" t="s">
        <v>129</v>
      </c>
      <c r="C17" s="14" t="n">
        <v>3000</v>
      </c>
      <c r="D17" s="16" t="n">
        <v>30</v>
      </c>
      <c r="E17" s="16" t="s">
        <v>116</v>
      </c>
      <c r="F17" s="16" t="s">
        <v>17</v>
      </c>
      <c r="G17" s="16" t="s">
        <v>38</v>
      </c>
      <c r="H17" s="16" t="n">
        <v>4</v>
      </c>
      <c r="I17" s="16" t="n">
        <v>4</v>
      </c>
      <c r="J17" s="14" t="n">
        <v>200</v>
      </c>
      <c r="K17" s="35" t="n">
        <f aca="false">C17/DIAS_MES/HORAS_DIA</f>
        <v>12.5</v>
      </c>
      <c r="L17" s="24" t="n">
        <f aca="false">ROUND(C17/DIAS_MES*D17,2)</f>
        <v>3000</v>
      </c>
      <c r="M17" s="24" t="n">
        <f aca="false">IF(E17="Sí",ASIG_FAMILIAR,0)</f>
        <v>123</v>
      </c>
      <c r="N17" s="24" t="n">
        <f aca="false">ROUND(K17*(1+RECARGO_25)*H17,2)</f>
        <v>62.5</v>
      </c>
      <c r="O17" s="24" t="n">
        <f aca="false">ROUND(K17*(1+RECARGO_35)*I17,2)</f>
        <v>67.5</v>
      </c>
      <c r="P17" s="24" t="n">
        <f aca="false">SUM(L17:O17)</f>
        <v>3253</v>
      </c>
      <c r="Q17" s="24" t="n">
        <f aca="false">IF(F17="ONP",ROUND(P17*TASA_ONP,2),0)</f>
        <v>422.89</v>
      </c>
      <c r="R17" s="24" t="n">
        <f aca="false">IF(F17="AFP",ROUND(P17*IFERROR(VLOOKUP(G17,TABLA_AFP,2,FALSE()),0),2),0)</f>
        <v>0</v>
      </c>
      <c r="S17" s="24" t="n">
        <f aca="false">IF(F17="AFP",ROUND(P17*IFERROR(VLOOKUP(G17,TABLA_AFP,3,FALSE()),0),2),0)</f>
        <v>0</v>
      </c>
      <c r="T17" s="24" t="n">
        <f aca="false">IF(F17="AFP",ROUND(P17*IFERROR(VLOOKUP(G17,TABLA_AFP,4,FALSE()),0),2),0)</f>
        <v>0</v>
      </c>
      <c r="U17" s="24" t="n">
        <f aca="false">ROUND(J17,2)</f>
        <v>200</v>
      </c>
      <c r="V17" s="24" t="n">
        <f aca="false">SUM(Q17:U17)</f>
        <v>622.89</v>
      </c>
      <c r="W17" s="24" t="n">
        <f aca="false">P17-V17</f>
        <v>2630.11</v>
      </c>
      <c r="X17" s="24" t="n">
        <f aca="false">ROUND(P17*TASA_ESSALUD,2)</f>
        <v>292.77</v>
      </c>
      <c r="Y17" s="36" t="n">
        <f aca="false">IF(P17=0,0,W17/P17)</f>
        <v>0.808518290808485</v>
      </c>
      <c r="Z17" s="2"/>
      <c r="AA17" s="2"/>
      <c r="AB17" s="2"/>
      <c r="AC17" s="2"/>
      <c r="AD17" s="2"/>
      <c r="AE17" s="2"/>
      <c r="AF17" s="2"/>
    </row>
    <row r="18" customFormat="false" ht="15" hidden="false" customHeight="false" outlineLevel="0" collapsed="false">
      <c r="A18" s="23" t="s">
        <v>130</v>
      </c>
      <c r="B18" s="23" t="s">
        <v>131</v>
      </c>
      <c r="C18" s="14" t="n">
        <v>1800</v>
      </c>
      <c r="D18" s="16" t="n">
        <v>30</v>
      </c>
      <c r="E18" s="16" t="s">
        <v>116</v>
      </c>
      <c r="F18" s="16" t="s">
        <v>17</v>
      </c>
      <c r="G18" s="16" t="s">
        <v>38</v>
      </c>
      <c r="H18" s="16" t="n">
        <v>0</v>
      </c>
      <c r="I18" s="16" t="n">
        <v>0</v>
      </c>
      <c r="J18" s="14" t="n">
        <v>0</v>
      </c>
      <c r="K18" s="35" t="n">
        <f aca="false">C18/DIAS_MES/HORAS_DIA</f>
        <v>7.5</v>
      </c>
      <c r="L18" s="24" t="n">
        <f aca="false">ROUND(C18/DIAS_MES*D18,2)</f>
        <v>1800</v>
      </c>
      <c r="M18" s="24" t="n">
        <f aca="false">IF(E18="Sí",ASIG_FAMILIAR,0)</f>
        <v>123</v>
      </c>
      <c r="N18" s="24" t="n">
        <f aca="false">ROUND(K18*(1+RECARGO_25)*H18,2)</f>
        <v>0</v>
      </c>
      <c r="O18" s="24" t="n">
        <f aca="false">ROUND(K18*(1+RECARGO_35)*I18,2)</f>
        <v>0</v>
      </c>
      <c r="P18" s="24" t="n">
        <f aca="false">SUM(L18:O18)</f>
        <v>1923</v>
      </c>
      <c r="Q18" s="24" t="n">
        <f aca="false">IF(F18="ONP",ROUND(P18*TASA_ONP,2),0)</f>
        <v>249.99</v>
      </c>
      <c r="R18" s="24" t="n">
        <f aca="false">IF(F18="AFP",ROUND(P18*IFERROR(VLOOKUP(G18,TABLA_AFP,2,FALSE()),0),2),0)</f>
        <v>0</v>
      </c>
      <c r="S18" s="24" t="n">
        <f aca="false">IF(F18="AFP",ROUND(P18*IFERROR(VLOOKUP(G18,TABLA_AFP,3,FALSE()),0),2),0)</f>
        <v>0</v>
      </c>
      <c r="T18" s="24" t="n">
        <f aca="false">IF(F18="AFP",ROUND(P18*IFERROR(VLOOKUP(G18,TABLA_AFP,4,FALSE()),0),2),0)</f>
        <v>0</v>
      </c>
      <c r="U18" s="24" t="n">
        <f aca="false">ROUND(J18,2)</f>
        <v>0</v>
      </c>
      <c r="V18" s="24" t="n">
        <f aca="false">SUM(Q18:U18)</f>
        <v>249.99</v>
      </c>
      <c r="W18" s="24" t="n">
        <f aca="false">P18-V18</f>
        <v>1673.01</v>
      </c>
      <c r="X18" s="24" t="n">
        <f aca="false">ROUND(P18*TASA_ESSALUD,2)</f>
        <v>173.07</v>
      </c>
      <c r="Y18" s="36" t="n">
        <f aca="false">IF(P18=0,0,W18/P18)</f>
        <v>0.87</v>
      </c>
      <c r="Z18" s="2"/>
      <c r="AA18" s="2"/>
      <c r="AB18" s="2"/>
      <c r="AC18" s="2"/>
      <c r="AD18" s="2"/>
      <c r="AE18" s="2"/>
      <c r="AF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customFormat="false" ht="15" hidden="false" customHeight="false" outlineLevel="0" collapsed="false">
      <c r="A21" s="11" t="s">
        <v>132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customFormat="false" ht="15" hidden="false" customHeight="false" outlineLevel="0" collapsed="false">
      <c r="A22" s="3" t="s">
        <v>133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customFormat="false" ht="45" hidden="false" customHeight="true" outlineLevel="0" collapsed="false">
      <c r="A23" s="4" t="s">
        <v>89</v>
      </c>
      <c r="B23" s="4" t="s">
        <v>90</v>
      </c>
      <c r="C23" s="4" t="s">
        <v>91</v>
      </c>
      <c r="D23" s="4" t="s">
        <v>92</v>
      </c>
      <c r="E23" s="4" t="s">
        <v>93</v>
      </c>
      <c r="F23" s="4" t="s">
        <v>94</v>
      </c>
      <c r="G23" s="4" t="s">
        <v>34</v>
      </c>
      <c r="H23" s="4" t="s">
        <v>95</v>
      </c>
      <c r="I23" s="4" t="s">
        <v>96</v>
      </c>
      <c r="J23" s="4" t="s">
        <v>97</v>
      </c>
      <c r="K23" s="4" t="s">
        <v>98</v>
      </c>
      <c r="L23" s="4" t="s">
        <v>72</v>
      </c>
      <c r="M23" s="4" t="s">
        <v>99</v>
      </c>
      <c r="N23" s="4" t="s">
        <v>100</v>
      </c>
      <c r="O23" s="4" t="s">
        <v>101</v>
      </c>
      <c r="P23" s="4" t="s">
        <v>80</v>
      </c>
      <c r="Q23" s="4" t="s">
        <v>17</v>
      </c>
      <c r="R23" s="4" t="s">
        <v>75</v>
      </c>
      <c r="S23" s="4" t="s">
        <v>77</v>
      </c>
      <c r="T23" s="4" t="s">
        <v>78</v>
      </c>
      <c r="U23" s="4" t="s">
        <v>79</v>
      </c>
      <c r="V23" s="4" t="s">
        <v>81</v>
      </c>
      <c r="W23" s="4" t="s">
        <v>102</v>
      </c>
      <c r="X23" s="4" t="s">
        <v>103</v>
      </c>
      <c r="Y23" s="4" t="s">
        <v>104</v>
      </c>
      <c r="Z23" s="4" t="s">
        <v>105</v>
      </c>
      <c r="AA23" s="4" t="s">
        <v>106</v>
      </c>
      <c r="AB23" s="4" t="s">
        <v>107</v>
      </c>
      <c r="AC23" s="4" t="s">
        <v>108</v>
      </c>
      <c r="AD23" s="4" t="s">
        <v>109</v>
      </c>
      <c r="AE23" s="4" t="s">
        <v>110</v>
      </c>
      <c r="AF23" s="4" t="s">
        <v>111</v>
      </c>
    </row>
    <row r="24" customFormat="false" ht="15" hidden="false" customHeight="false" outlineLevel="0" collapsed="false">
      <c r="A24" s="23" t="s">
        <v>134</v>
      </c>
      <c r="B24" s="23"/>
      <c r="C24" s="14"/>
      <c r="D24" s="16"/>
      <c r="E24" s="16"/>
      <c r="F24" s="16"/>
      <c r="G24" s="16"/>
      <c r="H24" s="16"/>
      <c r="I24" s="16"/>
      <c r="J24" s="14"/>
      <c r="K24" s="35" t="str">
        <f aca="false">IF($C24="","",C24/DIAS_MES/HORAS_DIA)</f>
        <v/>
      </c>
      <c r="L24" s="24" t="str">
        <f aca="false">IF($C24="","",ROUND(C24/DIAS_MES*D24,2))</f>
        <v/>
      </c>
      <c r="M24" s="24" t="str">
        <f aca="false">IF($C24="","",IF(E24="Sí",ASIG_FAMILIAR,0))</f>
        <v/>
      </c>
      <c r="N24" s="24" t="str">
        <f aca="false">IF($C24="","",ROUND(K24*(1+RECARGO_25)*H24,2))</f>
        <v/>
      </c>
      <c r="O24" s="24" t="str">
        <f aca="false">IF($C24="","",ROUND(K24*(1+RECARGO_35)*I24,2))</f>
        <v/>
      </c>
      <c r="P24" s="24" t="str">
        <f aca="false">IF($C24="","",SUM(L24:O24))</f>
        <v/>
      </c>
      <c r="Q24" s="24" t="str">
        <f aca="false">IF($C24="","",IF(F24="ONP",ROUND(P24*TASA_ONP,2),0))</f>
        <v/>
      </c>
      <c r="R24" s="24" t="str">
        <f aca="false">IF($C24="","",IF(F24="AFP",ROUND(P24*IFERROR(VLOOKUP(G24,TABLA_AFP,2,FALSE()),0),2),0))</f>
        <v/>
      </c>
      <c r="S24" s="24" t="str">
        <f aca="false">IF($C24="","",IF(F24="AFP",ROUND(P24*IFERROR(VLOOKUP(G24,TABLA_AFP,3,FALSE()),0),2),0))</f>
        <v/>
      </c>
      <c r="T24" s="24" t="str">
        <f aca="false">IF($C24="","",IF(F24="AFP",ROUND(P24*IFERROR(VLOOKUP(G24,TABLA_AFP,4,FALSE()),0),2),0))</f>
        <v/>
      </c>
      <c r="U24" s="24" t="str">
        <f aca="false">IF($C24="","",ROUND(J24,2))</f>
        <v/>
      </c>
      <c r="V24" s="24" t="str">
        <f aca="false">IF($C24="","",SUM(Q24:U24))</f>
        <v/>
      </c>
      <c r="W24" s="24" t="str">
        <f aca="false">IF($C24="","",P24-V24)</f>
        <v/>
      </c>
      <c r="X24" s="24" t="str">
        <f aca="false">IF($C24="","",ROUND(P24*TASA_ESSALUD,2))</f>
        <v/>
      </c>
      <c r="Y24" s="36" t="str">
        <f aca="false">IF($C24="","",IF(P24=0,0,W24/P24))</f>
        <v/>
      </c>
      <c r="Z24" s="23" t="s">
        <v>121</v>
      </c>
      <c r="AA24" s="14"/>
      <c r="AB24" s="14"/>
      <c r="AC24" s="14"/>
      <c r="AD24" s="14"/>
      <c r="AE24" s="24" t="str">
        <f aca="false">IF(OR($C24="",$AC24=""),"",ROUND(IF(AA24="",0,ABS(P24-AA24))+IF(AB24="",0,ABS(V24-AB24))+IF(AC24="",0,ABS(W24-AC24))+IF(AD24="",0,ABS(X24-AD24)),2))</f>
        <v/>
      </c>
      <c r="AF24" s="37" t="str">
        <f aca="false">IF(OR($C24="",$AC24=""),"",IF(AE24&lt;&gt;0,"Revisar",IF(Z24="—","Sí",IF(ROUND(W24-Z24,2)=0,"Sí","Revisar"))))</f>
        <v/>
      </c>
    </row>
    <row r="25" customFormat="false" ht="15" hidden="false" customHeight="false" outlineLevel="0" collapsed="false">
      <c r="A25" s="23" t="s">
        <v>135</v>
      </c>
      <c r="B25" s="23"/>
      <c r="C25" s="14"/>
      <c r="D25" s="16"/>
      <c r="E25" s="16"/>
      <c r="F25" s="16"/>
      <c r="G25" s="16"/>
      <c r="H25" s="16"/>
      <c r="I25" s="16"/>
      <c r="J25" s="14"/>
      <c r="K25" s="35" t="str">
        <f aca="false">IF($C25="","",C25/DIAS_MES/HORAS_DIA)</f>
        <v/>
      </c>
      <c r="L25" s="24" t="str">
        <f aca="false">IF($C25="","",ROUND(C25/DIAS_MES*D25,2))</f>
        <v/>
      </c>
      <c r="M25" s="24" t="str">
        <f aca="false">IF($C25="","",IF(E25="Sí",ASIG_FAMILIAR,0))</f>
        <v/>
      </c>
      <c r="N25" s="24" t="str">
        <f aca="false">IF($C25="","",ROUND(K25*(1+RECARGO_25)*H25,2))</f>
        <v/>
      </c>
      <c r="O25" s="24" t="str">
        <f aca="false">IF($C25="","",ROUND(K25*(1+RECARGO_35)*I25,2))</f>
        <v/>
      </c>
      <c r="P25" s="24" t="str">
        <f aca="false">IF($C25="","",SUM(L25:O25))</f>
        <v/>
      </c>
      <c r="Q25" s="24" t="str">
        <f aca="false">IF($C25="","",IF(F25="ONP",ROUND(P25*TASA_ONP,2),0))</f>
        <v/>
      </c>
      <c r="R25" s="24" t="str">
        <f aca="false">IF($C25="","",IF(F25="AFP",ROUND(P25*IFERROR(VLOOKUP(G25,TABLA_AFP,2,FALSE()),0),2),0))</f>
        <v/>
      </c>
      <c r="S25" s="24" t="str">
        <f aca="false">IF($C25="","",IF(F25="AFP",ROUND(P25*IFERROR(VLOOKUP(G25,TABLA_AFP,3,FALSE()),0),2),0))</f>
        <v/>
      </c>
      <c r="T25" s="24" t="str">
        <f aca="false">IF($C25="","",IF(F25="AFP",ROUND(P25*IFERROR(VLOOKUP(G25,TABLA_AFP,4,FALSE()),0),2),0))</f>
        <v/>
      </c>
      <c r="U25" s="24" t="str">
        <f aca="false">IF($C25="","",ROUND(J25,2))</f>
        <v/>
      </c>
      <c r="V25" s="24" t="str">
        <f aca="false">IF($C25="","",SUM(Q25:U25))</f>
        <v/>
      </c>
      <c r="W25" s="24" t="str">
        <f aca="false">IF($C25="","",P25-V25)</f>
        <v/>
      </c>
      <c r="X25" s="24" t="str">
        <f aca="false">IF($C25="","",ROUND(P25*TASA_ESSALUD,2))</f>
        <v/>
      </c>
      <c r="Y25" s="36" t="str">
        <f aca="false">IF($C25="","",IF(P25=0,0,W25/P25))</f>
        <v/>
      </c>
      <c r="Z25" s="23" t="s">
        <v>121</v>
      </c>
      <c r="AA25" s="14"/>
      <c r="AB25" s="14"/>
      <c r="AC25" s="14"/>
      <c r="AD25" s="14"/>
      <c r="AE25" s="24" t="str">
        <f aca="false">IF(OR($C25="",$AC25=""),"",ROUND(IF(AA25="",0,ABS(P25-AA25))+IF(AB25="",0,ABS(V25-AB25))+IF(AC25="",0,ABS(W25-AC25))+IF(AD25="",0,ABS(X25-AD25)),2))</f>
        <v/>
      </c>
      <c r="AF25" s="37" t="str">
        <f aca="false">IF(OR($C25="",$AC25=""),"",IF(AE25&lt;&gt;0,"Revisar",IF(Z25="—","Sí",IF(ROUND(W25-Z25,2)=0,"Sí","Revisar"))))</f>
        <v/>
      </c>
    </row>
    <row r="26" customFormat="false" ht="15" hidden="false" customHeight="false" outlineLevel="0" collapsed="false">
      <c r="A26" s="23" t="s">
        <v>136</v>
      </c>
      <c r="B26" s="23"/>
      <c r="C26" s="14"/>
      <c r="D26" s="16"/>
      <c r="E26" s="16"/>
      <c r="F26" s="16"/>
      <c r="G26" s="16"/>
      <c r="H26" s="16"/>
      <c r="I26" s="16"/>
      <c r="J26" s="14"/>
      <c r="K26" s="35" t="str">
        <f aca="false">IF($C26="","",C26/DIAS_MES/HORAS_DIA)</f>
        <v/>
      </c>
      <c r="L26" s="24" t="str">
        <f aca="false">IF($C26="","",ROUND(C26/DIAS_MES*D26,2))</f>
        <v/>
      </c>
      <c r="M26" s="24" t="str">
        <f aca="false">IF($C26="","",IF(E26="Sí",ASIG_FAMILIAR,0))</f>
        <v/>
      </c>
      <c r="N26" s="24" t="str">
        <f aca="false">IF($C26="","",ROUND(K26*(1+RECARGO_25)*H26,2))</f>
        <v/>
      </c>
      <c r="O26" s="24" t="str">
        <f aca="false">IF($C26="","",ROUND(K26*(1+RECARGO_35)*I26,2))</f>
        <v/>
      </c>
      <c r="P26" s="24" t="str">
        <f aca="false">IF($C26="","",SUM(L26:O26))</f>
        <v/>
      </c>
      <c r="Q26" s="24" t="str">
        <f aca="false">IF($C26="","",IF(F26="ONP",ROUND(P26*TASA_ONP,2),0))</f>
        <v/>
      </c>
      <c r="R26" s="24" t="str">
        <f aca="false">IF($C26="","",IF(F26="AFP",ROUND(P26*IFERROR(VLOOKUP(G26,TABLA_AFP,2,FALSE()),0),2),0))</f>
        <v/>
      </c>
      <c r="S26" s="24" t="str">
        <f aca="false">IF($C26="","",IF(F26="AFP",ROUND(P26*IFERROR(VLOOKUP(G26,TABLA_AFP,3,FALSE()),0),2),0))</f>
        <v/>
      </c>
      <c r="T26" s="24" t="str">
        <f aca="false">IF($C26="","",IF(F26="AFP",ROUND(P26*IFERROR(VLOOKUP(G26,TABLA_AFP,4,FALSE()),0),2),0))</f>
        <v/>
      </c>
      <c r="U26" s="24" t="str">
        <f aca="false">IF($C26="","",ROUND(J26,2))</f>
        <v/>
      </c>
      <c r="V26" s="24" t="str">
        <f aca="false">IF($C26="","",SUM(Q26:U26))</f>
        <v/>
      </c>
      <c r="W26" s="24" t="str">
        <f aca="false">IF($C26="","",P26-V26)</f>
        <v/>
      </c>
      <c r="X26" s="24" t="str">
        <f aca="false">IF($C26="","",ROUND(P26*TASA_ESSALUD,2))</f>
        <v/>
      </c>
      <c r="Y26" s="36" t="str">
        <f aca="false">IF($C26="","",IF(P26=0,0,W26/P26))</f>
        <v/>
      </c>
      <c r="Z26" s="23" t="s">
        <v>121</v>
      </c>
      <c r="AA26" s="14"/>
      <c r="AB26" s="14"/>
      <c r="AC26" s="14"/>
      <c r="AD26" s="14"/>
      <c r="AE26" s="24" t="str">
        <f aca="false">IF(OR($C26="",$AC26=""),"",ROUND(IF(AA26="",0,ABS(P26-AA26))+IF(AB26="",0,ABS(V26-AB26))+IF(AC26="",0,ABS(W26-AC26))+IF(AD26="",0,ABS(X26-AD26)),2))</f>
        <v/>
      </c>
      <c r="AF26" s="37" t="str">
        <f aca="false">IF(OR($C26="",$AC26=""),"",IF(AE26&lt;&gt;0,"Revisar",IF(Z26="—","Sí",IF(ROUND(W26-Z26,2)=0,"Sí","Revisar"))))</f>
        <v/>
      </c>
    </row>
    <row r="27" customFormat="false" ht="15" hidden="false" customHeight="false" outlineLevel="0" collapsed="false">
      <c r="A27" s="23" t="s">
        <v>137</v>
      </c>
      <c r="B27" s="23"/>
      <c r="C27" s="14"/>
      <c r="D27" s="16"/>
      <c r="E27" s="16"/>
      <c r="F27" s="16"/>
      <c r="G27" s="16"/>
      <c r="H27" s="16"/>
      <c r="I27" s="16"/>
      <c r="J27" s="14"/>
      <c r="K27" s="35" t="str">
        <f aca="false">IF($C27="","",C27/DIAS_MES/HORAS_DIA)</f>
        <v/>
      </c>
      <c r="L27" s="24" t="str">
        <f aca="false">IF($C27="","",ROUND(C27/DIAS_MES*D27,2))</f>
        <v/>
      </c>
      <c r="M27" s="24" t="str">
        <f aca="false">IF($C27="","",IF(E27="Sí",ASIG_FAMILIAR,0))</f>
        <v/>
      </c>
      <c r="N27" s="24" t="str">
        <f aca="false">IF($C27="","",ROUND(K27*(1+RECARGO_25)*H27,2))</f>
        <v/>
      </c>
      <c r="O27" s="24" t="str">
        <f aca="false">IF($C27="","",ROUND(K27*(1+RECARGO_35)*I27,2))</f>
        <v/>
      </c>
      <c r="P27" s="24" t="str">
        <f aca="false">IF($C27="","",SUM(L27:O27))</f>
        <v/>
      </c>
      <c r="Q27" s="24" t="str">
        <f aca="false">IF($C27="","",IF(F27="ONP",ROUND(P27*TASA_ONP,2),0))</f>
        <v/>
      </c>
      <c r="R27" s="24" t="str">
        <f aca="false">IF($C27="","",IF(F27="AFP",ROUND(P27*IFERROR(VLOOKUP(G27,TABLA_AFP,2,FALSE()),0),2),0))</f>
        <v/>
      </c>
      <c r="S27" s="24" t="str">
        <f aca="false">IF($C27="","",IF(F27="AFP",ROUND(P27*IFERROR(VLOOKUP(G27,TABLA_AFP,3,FALSE()),0),2),0))</f>
        <v/>
      </c>
      <c r="T27" s="24" t="str">
        <f aca="false">IF($C27="","",IF(F27="AFP",ROUND(P27*IFERROR(VLOOKUP(G27,TABLA_AFP,4,FALSE()),0),2),0))</f>
        <v/>
      </c>
      <c r="U27" s="24" t="str">
        <f aca="false">IF($C27="","",ROUND(J27,2))</f>
        <v/>
      </c>
      <c r="V27" s="24" t="str">
        <f aca="false">IF($C27="","",SUM(Q27:U27))</f>
        <v/>
      </c>
      <c r="W27" s="24" t="str">
        <f aca="false">IF($C27="","",P27-V27)</f>
        <v/>
      </c>
      <c r="X27" s="24" t="str">
        <f aca="false">IF($C27="","",ROUND(P27*TASA_ESSALUD,2))</f>
        <v/>
      </c>
      <c r="Y27" s="36" t="str">
        <f aca="false">IF($C27="","",IF(P27=0,0,W27/P27))</f>
        <v/>
      </c>
      <c r="Z27" s="23" t="s">
        <v>121</v>
      </c>
      <c r="AA27" s="14"/>
      <c r="AB27" s="14"/>
      <c r="AC27" s="14"/>
      <c r="AD27" s="14"/>
      <c r="AE27" s="24" t="str">
        <f aca="false">IF(OR($C27="",$AC27=""),"",ROUND(IF(AA27="",0,ABS(P27-AA27))+IF(AB27="",0,ABS(V27-AB27))+IF(AC27="",0,ABS(W27-AC27))+IF(AD27="",0,ABS(X27-AD27)),2))</f>
        <v/>
      </c>
      <c r="AF27" s="37" t="str">
        <f aca="false">IF(OR($C27="",$AC27=""),"",IF(AE27&lt;&gt;0,"Revisar",IF(Z27="—","Sí",IF(ROUND(W27-Z27,2)=0,"Sí","Revisar"))))</f>
        <v/>
      </c>
    </row>
    <row r="28" customFormat="false" ht="15" hidden="false" customHeight="false" outlineLevel="0" collapsed="false">
      <c r="A28" s="23" t="s">
        <v>138</v>
      </c>
      <c r="B28" s="23"/>
      <c r="C28" s="14"/>
      <c r="D28" s="16"/>
      <c r="E28" s="16"/>
      <c r="F28" s="16"/>
      <c r="G28" s="16"/>
      <c r="H28" s="16"/>
      <c r="I28" s="16"/>
      <c r="J28" s="14"/>
      <c r="K28" s="35" t="str">
        <f aca="false">IF($C28="","",C28/DIAS_MES/HORAS_DIA)</f>
        <v/>
      </c>
      <c r="L28" s="24" t="str">
        <f aca="false">IF($C28="","",ROUND(C28/DIAS_MES*D28,2))</f>
        <v/>
      </c>
      <c r="M28" s="24" t="str">
        <f aca="false">IF($C28="","",IF(E28="Sí",ASIG_FAMILIAR,0))</f>
        <v/>
      </c>
      <c r="N28" s="24" t="str">
        <f aca="false">IF($C28="","",ROUND(K28*(1+RECARGO_25)*H28,2))</f>
        <v/>
      </c>
      <c r="O28" s="24" t="str">
        <f aca="false">IF($C28="","",ROUND(K28*(1+RECARGO_35)*I28,2))</f>
        <v/>
      </c>
      <c r="P28" s="24" t="str">
        <f aca="false">IF($C28="","",SUM(L28:O28))</f>
        <v/>
      </c>
      <c r="Q28" s="24" t="str">
        <f aca="false">IF($C28="","",IF(F28="ONP",ROUND(P28*TASA_ONP,2),0))</f>
        <v/>
      </c>
      <c r="R28" s="24" t="str">
        <f aca="false">IF($C28="","",IF(F28="AFP",ROUND(P28*IFERROR(VLOOKUP(G28,TABLA_AFP,2,FALSE()),0),2),0))</f>
        <v/>
      </c>
      <c r="S28" s="24" t="str">
        <f aca="false">IF($C28="","",IF(F28="AFP",ROUND(P28*IFERROR(VLOOKUP(G28,TABLA_AFP,3,FALSE()),0),2),0))</f>
        <v/>
      </c>
      <c r="T28" s="24" t="str">
        <f aca="false">IF($C28="","",IF(F28="AFP",ROUND(P28*IFERROR(VLOOKUP(G28,TABLA_AFP,4,FALSE()),0),2),0))</f>
        <v/>
      </c>
      <c r="U28" s="24" t="str">
        <f aca="false">IF($C28="","",ROUND(J28,2))</f>
        <v/>
      </c>
      <c r="V28" s="24" t="str">
        <f aca="false">IF($C28="","",SUM(Q28:U28))</f>
        <v/>
      </c>
      <c r="W28" s="24" t="str">
        <f aca="false">IF($C28="","",P28-V28)</f>
        <v/>
      </c>
      <c r="X28" s="24" t="str">
        <f aca="false">IF($C28="","",ROUND(P28*TASA_ESSALUD,2))</f>
        <v/>
      </c>
      <c r="Y28" s="36" t="str">
        <f aca="false">IF($C28="","",IF(P28=0,0,W28/P28))</f>
        <v/>
      </c>
      <c r="Z28" s="23" t="s">
        <v>121</v>
      </c>
      <c r="AA28" s="14"/>
      <c r="AB28" s="14"/>
      <c r="AC28" s="14"/>
      <c r="AD28" s="14"/>
      <c r="AE28" s="24" t="str">
        <f aca="false">IF(OR($C28="",$AC28=""),"",ROUND(IF(AA28="",0,ABS(P28-AA28))+IF(AB28="",0,ABS(V28-AB28))+IF(AC28="",0,ABS(W28-AC28))+IF(AD28="",0,ABS(X28-AD28)),2))</f>
        <v/>
      </c>
      <c r="AF28" s="37" t="str">
        <f aca="false">IF(OR($C28="",$AC28=""),"",IF(AE28&lt;&gt;0,"Revisar",IF(Z28="—","Sí",IF(ROUND(W28-Z28,2)=0,"Sí","Revisar"))))</f>
        <v/>
      </c>
    </row>
    <row r="29" customFormat="false" ht="15" hidden="false" customHeight="false" outlineLevel="0" collapsed="false">
      <c r="A29" s="23" t="s">
        <v>139</v>
      </c>
      <c r="B29" s="23"/>
      <c r="C29" s="14"/>
      <c r="D29" s="16"/>
      <c r="E29" s="16"/>
      <c r="F29" s="16"/>
      <c r="G29" s="16"/>
      <c r="H29" s="16"/>
      <c r="I29" s="16"/>
      <c r="J29" s="14"/>
      <c r="K29" s="35" t="str">
        <f aca="false">IF($C29="","",C29/DIAS_MES/HORAS_DIA)</f>
        <v/>
      </c>
      <c r="L29" s="24" t="str">
        <f aca="false">IF($C29="","",ROUND(C29/DIAS_MES*D29,2))</f>
        <v/>
      </c>
      <c r="M29" s="24" t="str">
        <f aca="false">IF($C29="","",IF(E29="Sí",ASIG_FAMILIAR,0))</f>
        <v/>
      </c>
      <c r="N29" s="24" t="str">
        <f aca="false">IF($C29="","",ROUND(K29*(1+RECARGO_25)*H29,2))</f>
        <v/>
      </c>
      <c r="O29" s="24" t="str">
        <f aca="false">IF($C29="","",ROUND(K29*(1+RECARGO_35)*I29,2))</f>
        <v/>
      </c>
      <c r="P29" s="24" t="str">
        <f aca="false">IF($C29="","",SUM(L29:O29))</f>
        <v/>
      </c>
      <c r="Q29" s="24" t="str">
        <f aca="false">IF($C29="","",IF(F29="ONP",ROUND(P29*TASA_ONP,2),0))</f>
        <v/>
      </c>
      <c r="R29" s="24" t="str">
        <f aca="false">IF($C29="","",IF(F29="AFP",ROUND(P29*IFERROR(VLOOKUP(G29,TABLA_AFP,2,FALSE()),0),2),0))</f>
        <v/>
      </c>
      <c r="S29" s="24" t="str">
        <f aca="false">IF($C29="","",IF(F29="AFP",ROUND(P29*IFERROR(VLOOKUP(G29,TABLA_AFP,3,FALSE()),0),2),0))</f>
        <v/>
      </c>
      <c r="T29" s="24" t="str">
        <f aca="false">IF($C29="","",IF(F29="AFP",ROUND(P29*IFERROR(VLOOKUP(G29,TABLA_AFP,4,FALSE()),0),2),0))</f>
        <v/>
      </c>
      <c r="U29" s="24" t="str">
        <f aca="false">IF($C29="","",ROUND(J29,2))</f>
        <v/>
      </c>
      <c r="V29" s="24" t="str">
        <f aca="false">IF($C29="","",SUM(Q29:U29))</f>
        <v/>
      </c>
      <c r="W29" s="24" t="str">
        <f aca="false">IF($C29="","",P29-V29)</f>
        <v/>
      </c>
      <c r="X29" s="24" t="str">
        <f aca="false">IF($C29="","",ROUND(P29*TASA_ESSALUD,2))</f>
        <v/>
      </c>
      <c r="Y29" s="36" t="str">
        <f aca="false">IF($C29="","",IF(P29=0,0,W29/P29))</f>
        <v/>
      </c>
      <c r="Z29" s="23" t="s">
        <v>121</v>
      </c>
      <c r="AA29" s="14"/>
      <c r="AB29" s="14"/>
      <c r="AC29" s="14"/>
      <c r="AD29" s="14"/>
      <c r="AE29" s="24" t="str">
        <f aca="false">IF(OR($C29="",$AC29=""),"",ROUND(IF(AA29="",0,ABS(P29-AA29))+IF(AB29="",0,ABS(V29-AB29))+IF(AC29="",0,ABS(W29-AC29))+IF(AD29="",0,ABS(X29-AD29)),2))</f>
        <v/>
      </c>
      <c r="AF29" s="37" t="str">
        <f aca="false">IF(OR($C29="",$AC29=""),"",IF(AE29&lt;&gt;0,"Revisar",IF(Z29="—","Sí",IF(ROUND(W29-Z29,2)=0,"Sí","Revisar"))))</f>
        <v/>
      </c>
    </row>
    <row r="30" customFormat="false" ht="15" hidden="false" customHeight="false" outlineLevel="0" collapsed="false">
      <c r="A30" s="23" t="s">
        <v>140</v>
      </c>
      <c r="B30" s="23"/>
      <c r="C30" s="14"/>
      <c r="D30" s="16"/>
      <c r="E30" s="16"/>
      <c r="F30" s="16"/>
      <c r="G30" s="16"/>
      <c r="H30" s="16"/>
      <c r="I30" s="16"/>
      <c r="J30" s="14"/>
      <c r="K30" s="35" t="str">
        <f aca="false">IF($C30="","",C30/DIAS_MES/HORAS_DIA)</f>
        <v/>
      </c>
      <c r="L30" s="24" t="str">
        <f aca="false">IF($C30="","",ROUND(C30/DIAS_MES*D30,2))</f>
        <v/>
      </c>
      <c r="M30" s="24" t="str">
        <f aca="false">IF($C30="","",IF(E30="Sí",ASIG_FAMILIAR,0))</f>
        <v/>
      </c>
      <c r="N30" s="24" t="str">
        <f aca="false">IF($C30="","",ROUND(K30*(1+RECARGO_25)*H30,2))</f>
        <v/>
      </c>
      <c r="O30" s="24" t="str">
        <f aca="false">IF($C30="","",ROUND(K30*(1+RECARGO_35)*I30,2))</f>
        <v/>
      </c>
      <c r="P30" s="24" t="str">
        <f aca="false">IF($C30="","",SUM(L30:O30))</f>
        <v/>
      </c>
      <c r="Q30" s="24" t="str">
        <f aca="false">IF($C30="","",IF(F30="ONP",ROUND(P30*TASA_ONP,2),0))</f>
        <v/>
      </c>
      <c r="R30" s="24" t="str">
        <f aca="false">IF($C30="","",IF(F30="AFP",ROUND(P30*IFERROR(VLOOKUP(G30,TABLA_AFP,2,FALSE()),0),2),0))</f>
        <v/>
      </c>
      <c r="S30" s="24" t="str">
        <f aca="false">IF($C30="","",IF(F30="AFP",ROUND(P30*IFERROR(VLOOKUP(G30,TABLA_AFP,3,FALSE()),0),2),0))</f>
        <v/>
      </c>
      <c r="T30" s="24" t="str">
        <f aca="false">IF($C30="","",IF(F30="AFP",ROUND(P30*IFERROR(VLOOKUP(G30,TABLA_AFP,4,FALSE()),0),2),0))</f>
        <v/>
      </c>
      <c r="U30" s="24" t="str">
        <f aca="false">IF($C30="","",ROUND(J30,2))</f>
        <v/>
      </c>
      <c r="V30" s="24" t="str">
        <f aca="false">IF($C30="","",SUM(Q30:U30))</f>
        <v/>
      </c>
      <c r="W30" s="24" t="str">
        <f aca="false">IF($C30="","",P30-V30)</f>
        <v/>
      </c>
      <c r="X30" s="24" t="str">
        <f aca="false">IF($C30="","",ROUND(P30*TASA_ESSALUD,2))</f>
        <v/>
      </c>
      <c r="Y30" s="36" t="str">
        <f aca="false">IF($C30="","",IF(P30=0,0,W30/P30))</f>
        <v/>
      </c>
      <c r="Z30" s="23" t="s">
        <v>121</v>
      </c>
      <c r="AA30" s="14"/>
      <c r="AB30" s="14"/>
      <c r="AC30" s="14"/>
      <c r="AD30" s="14"/>
      <c r="AE30" s="24" t="str">
        <f aca="false">IF(OR($C30="",$AC30=""),"",ROUND(IF(AA30="",0,ABS(P30-AA30))+IF(AB30="",0,ABS(V30-AB30))+IF(AC30="",0,ABS(W30-AC30))+IF(AD30="",0,ABS(X30-AD30)),2))</f>
        <v/>
      </c>
      <c r="AF30" s="37" t="str">
        <f aca="false">IF(OR($C30="",$AC30=""),"",IF(AE30&lt;&gt;0,"Revisar",IF(Z30="—","Sí",IF(ROUND(W30-Z30,2)=0,"Sí","Revisar"))))</f>
        <v/>
      </c>
    </row>
    <row r="31" customFormat="false" ht="15" hidden="false" customHeight="false" outlineLevel="0" collapsed="false">
      <c r="A31" s="23" t="s">
        <v>141</v>
      </c>
      <c r="B31" s="23"/>
      <c r="C31" s="14"/>
      <c r="D31" s="16"/>
      <c r="E31" s="16"/>
      <c r="F31" s="16"/>
      <c r="G31" s="16"/>
      <c r="H31" s="16"/>
      <c r="I31" s="16"/>
      <c r="J31" s="14"/>
      <c r="K31" s="35" t="str">
        <f aca="false">IF($C31="","",C31/DIAS_MES/HORAS_DIA)</f>
        <v/>
      </c>
      <c r="L31" s="24" t="str">
        <f aca="false">IF($C31="","",ROUND(C31/DIAS_MES*D31,2))</f>
        <v/>
      </c>
      <c r="M31" s="24" t="str">
        <f aca="false">IF($C31="","",IF(E31="Sí",ASIG_FAMILIAR,0))</f>
        <v/>
      </c>
      <c r="N31" s="24" t="str">
        <f aca="false">IF($C31="","",ROUND(K31*(1+RECARGO_25)*H31,2))</f>
        <v/>
      </c>
      <c r="O31" s="24" t="str">
        <f aca="false">IF($C31="","",ROUND(K31*(1+RECARGO_35)*I31,2))</f>
        <v/>
      </c>
      <c r="P31" s="24" t="str">
        <f aca="false">IF($C31="","",SUM(L31:O31))</f>
        <v/>
      </c>
      <c r="Q31" s="24" t="str">
        <f aca="false">IF($C31="","",IF(F31="ONP",ROUND(P31*TASA_ONP,2),0))</f>
        <v/>
      </c>
      <c r="R31" s="24" t="str">
        <f aca="false">IF($C31="","",IF(F31="AFP",ROUND(P31*IFERROR(VLOOKUP(G31,TABLA_AFP,2,FALSE()),0),2),0))</f>
        <v/>
      </c>
      <c r="S31" s="24" t="str">
        <f aca="false">IF($C31="","",IF(F31="AFP",ROUND(P31*IFERROR(VLOOKUP(G31,TABLA_AFP,3,FALSE()),0),2),0))</f>
        <v/>
      </c>
      <c r="T31" s="24" t="str">
        <f aca="false">IF($C31="","",IF(F31="AFP",ROUND(P31*IFERROR(VLOOKUP(G31,TABLA_AFP,4,FALSE()),0),2),0))</f>
        <v/>
      </c>
      <c r="U31" s="24" t="str">
        <f aca="false">IF($C31="","",ROUND(J31,2))</f>
        <v/>
      </c>
      <c r="V31" s="24" t="str">
        <f aca="false">IF($C31="","",SUM(Q31:U31))</f>
        <v/>
      </c>
      <c r="W31" s="24" t="str">
        <f aca="false">IF($C31="","",P31-V31)</f>
        <v/>
      </c>
      <c r="X31" s="24" t="str">
        <f aca="false">IF($C31="","",ROUND(P31*TASA_ESSALUD,2))</f>
        <v/>
      </c>
      <c r="Y31" s="36" t="str">
        <f aca="false">IF($C31="","",IF(P31=0,0,W31/P31))</f>
        <v/>
      </c>
      <c r="Z31" s="23" t="s">
        <v>121</v>
      </c>
      <c r="AA31" s="14"/>
      <c r="AB31" s="14"/>
      <c r="AC31" s="14"/>
      <c r="AD31" s="14"/>
      <c r="AE31" s="24" t="str">
        <f aca="false">IF(OR($C31="",$AC31=""),"",ROUND(IF(AA31="",0,ABS(P31-AA31))+IF(AB31="",0,ABS(V31-AB31))+IF(AC31="",0,ABS(W31-AC31))+IF(AD31="",0,ABS(X31-AD31)),2))</f>
        <v/>
      </c>
      <c r="AF31" s="37" t="str">
        <f aca="false">IF(OR($C31="",$AC31=""),"",IF(AE31&lt;&gt;0,"Revisar",IF(Z31="—","Sí",IF(ROUND(W31-Z31,2)=0,"Sí","Revisar"))))</f>
        <v/>
      </c>
    </row>
  </sheetData>
  <conditionalFormatting sqref="AF5:AF31">
    <cfRule type="expression" priority="2" aboveAverage="0" equalAverage="0" bottom="0" percent="0" rank="0" text="" dxfId="1">
      <formula>AF5="Sí"</formula>
    </cfRule>
    <cfRule type="expression" priority="3" aboveAverage="0" equalAverage="0" bottom="0" percent="0" rank="0" text="" dxfId="0">
      <formula>AF5="Revisar"</formula>
    </cfRule>
  </conditionalFormatting>
  <dataValidations count="3">
    <dataValidation allowBlank="false" errorStyle="stop" operator="between" showDropDown="false" showErrorMessage="false" showInputMessage="false" sqref="E24:E31" type="list">
      <formula1>"No,Sí"</formula1>
      <formula2>0</formula2>
    </dataValidation>
    <dataValidation allowBlank="false" errorStyle="stop" operator="between" showDropDown="false" showErrorMessage="false" showInputMessage="false" sqref="F24:F31" type="list">
      <formula1>"ONP,AFP"</formula1>
      <formula2>0</formula2>
    </dataValidation>
    <dataValidation allowBlank="false" errorStyle="stop" operator="between" showDropDown="false" showErrorMessage="false" showInputMessage="false" sqref="G24:G31" type="list">
      <formula1>LISTA_AFP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142</v>
      </c>
      <c r="B1" s="2"/>
      <c r="C1" s="2"/>
      <c r="D1" s="2"/>
      <c r="E1" s="2"/>
    </row>
    <row r="2" customFormat="false" ht="30" hidden="false" customHeight="true" outlineLevel="0" collapsed="false">
      <c r="A2" s="12" t="s">
        <v>143</v>
      </c>
      <c r="B2" s="12"/>
      <c r="C2" s="12"/>
      <c r="D2" s="12"/>
      <c r="E2" s="12"/>
    </row>
    <row r="3" customFormat="false" ht="15" hidden="false" customHeight="false" outlineLevel="0" collapsed="false">
      <c r="A3" s="38" t="s">
        <v>144</v>
      </c>
      <c r="B3" s="38"/>
      <c r="C3" s="38"/>
      <c r="D3" s="38"/>
      <c r="E3" s="38"/>
    </row>
    <row r="4" customFormat="false" ht="15" hidden="false" customHeight="false" outlineLevel="0" collapsed="false">
      <c r="A4" s="4" t="s">
        <v>145</v>
      </c>
      <c r="B4" s="4" t="s">
        <v>146</v>
      </c>
      <c r="C4" s="4" t="s">
        <v>147</v>
      </c>
      <c r="D4" s="4" t="s">
        <v>148</v>
      </c>
      <c r="E4" s="4" t="s">
        <v>149</v>
      </c>
    </row>
    <row r="5" customFormat="false" ht="48" hidden="false" customHeight="true" outlineLevel="0" collapsed="false">
      <c r="A5" s="39" t="s">
        <v>72</v>
      </c>
      <c r="B5" s="40" t="s">
        <v>150</v>
      </c>
      <c r="C5" s="41" t="s">
        <v>151</v>
      </c>
      <c r="D5" s="41" t="s">
        <v>152</v>
      </c>
      <c r="E5" s="42" t="n">
        <f aca="false">Casos!L7</f>
        <v>3000</v>
      </c>
    </row>
    <row r="6" customFormat="false" ht="48" hidden="false" customHeight="true" outlineLevel="0" collapsed="false">
      <c r="A6" s="39" t="s">
        <v>74</v>
      </c>
      <c r="B6" s="40" t="s">
        <v>153</v>
      </c>
      <c r="C6" s="41" t="s">
        <v>154</v>
      </c>
      <c r="D6" s="41" t="s">
        <v>155</v>
      </c>
      <c r="E6" s="42" t="n">
        <f aca="false">Casos!M7</f>
        <v>123</v>
      </c>
    </row>
    <row r="7" customFormat="false" ht="48" hidden="false" customHeight="true" outlineLevel="0" collapsed="false">
      <c r="A7" s="39" t="s">
        <v>98</v>
      </c>
      <c r="B7" s="40" t="s">
        <v>156</v>
      </c>
      <c r="C7" s="41" t="s">
        <v>157</v>
      </c>
      <c r="D7" s="41" t="s">
        <v>158</v>
      </c>
      <c r="E7" s="43" t="n">
        <f aca="false">Casos!K7</f>
        <v>12.5</v>
      </c>
    </row>
    <row r="8" customFormat="false" ht="48" hidden="false" customHeight="true" outlineLevel="0" collapsed="false">
      <c r="A8" s="39" t="s">
        <v>62</v>
      </c>
      <c r="B8" s="40" t="s">
        <v>159</v>
      </c>
      <c r="C8" s="41" t="s">
        <v>160</v>
      </c>
      <c r="D8" s="41" t="s">
        <v>161</v>
      </c>
      <c r="E8" s="42" t="n">
        <f aca="false">Casos!N7</f>
        <v>62.5</v>
      </c>
    </row>
    <row r="9" customFormat="false" ht="48" hidden="false" customHeight="true" outlineLevel="0" collapsed="false">
      <c r="A9" s="39" t="s">
        <v>64</v>
      </c>
      <c r="B9" s="40" t="s">
        <v>162</v>
      </c>
      <c r="C9" s="41" t="s">
        <v>163</v>
      </c>
      <c r="D9" s="41" t="s">
        <v>164</v>
      </c>
      <c r="E9" s="42" t="n">
        <f aca="false">Casos!O7</f>
        <v>67.5</v>
      </c>
    </row>
    <row r="10" customFormat="false" ht="48" hidden="false" customHeight="true" outlineLevel="0" collapsed="false">
      <c r="A10" s="39" t="s">
        <v>80</v>
      </c>
      <c r="B10" s="40" t="s">
        <v>165</v>
      </c>
      <c r="C10" s="41" t="s">
        <v>166</v>
      </c>
      <c r="D10" s="41" t="s">
        <v>167</v>
      </c>
      <c r="E10" s="42" t="n">
        <f aca="false">Casos!P7</f>
        <v>3253</v>
      </c>
    </row>
    <row r="11" customFormat="false" ht="48" hidden="false" customHeight="true" outlineLevel="0" collapsed="false">
      <c r="A11" s="39" t="s">
        <v>17</v>
      </c>
      <c r="B11" s="40" t="s">
        <v>168</v>
      </c>
      <c r="C11" s="41" t="s">
        <v>169</v>
      </c>
      <c r="D11" s="41" t="s">
        <v>170</v>
      </c>
      <c r="E11" s="42" t="n">
        <f aca="false">Casos!Q7</f>
        <v>0</v>
      </c>
    </row>
    <row r="12" customFormat="false" ht="48" hidden="false" customHeight="true" outlineLevel="0" collapsed="false">
      <c r="A12" s="39" t="s">
        <v>75</v>
      </c>
      <c r="B12" s="40" t="s">
        <v>171</v>
      </c>
      <c r="C12" s="41" t="s">
        <v>172</v>
      </c>
      <c r="D12" s="41" t="s">
        <v>173</v>
      </c>
      <c r="E12" s="42" t="n">
        <f aca="false">Casos!R7</f>
        <v>325.3</v>
      </c>
    </row>
    <row r="13" customFormat="false" ht="48" hidden="false" customHeight="true" outlineLevel="0" collapsed="false">
      <c r="A13" s="39" t="s">
        <v>77</v>
      </c>
      <c r="B13" s="40" t="s">
        <v>174</v>
      </c>
      <c r="C13" s="41" t="s">
        <v>175</v>
      </c>
      <c r="D13" s="41" t="s">
        <v>176</v>
      </c>
      <c r="E13" s="42" t="n">
        <f aca="false">Casos!S7</f>
        <v>52.05</v>
      </c>
    </row>
    <row r="14" customFormat="false" ht="48" hidden="false" customHeight="true" outlineLevel="0" collapsed="false">
      <c r="A14" s="39" t="s">
        <v>78</v>
      </c>
      <c r="B14" s="40" t="s">
        <v>177</v>
      </c>
      <c r="C14" s="41" t="s">
        <v>178</v>
      </c>
      <c r="D14" s="41" t="s">
        <v>179</v>
      </c>
      <c r="E14" s="42" t="n">
        <f aca="false">Casos!T7</f>
        <v>43.92</v>
      </c>
    </row>
    <row r="15" customFormat="false" ht="48" hidden="false" customHeight="true" outlineLevel="0" collapsed="false">
      <c r="A15" s="39" t="s">
        <v>79</v>
      </c>
      <c r="B15" s="40" t="s">
        <v>180</v>
      </c>
      <c r="C15" s="41" t="s">
        <v>181</v>
      </c>
      <c r="D15" s="41" t="s">
        <v>182</v>
      </c>
      <c r="E15" s="42" t="n">
        <f aca="false">Casos!U7</f>
        <v>200</v>
      </c>
    </row>
    <row r="16" customFormat="false" ht="48" hidden="false" customHeight="true" outlineLevel="0" collapsed="false">
      <c r="A16" s="39" t="s">
        <v>81</v>
      </c>
      <c r="B16" s="40" t="s">
        <v>183</v>
      </c>
      <c r="C16" s="41" t="s">
        <v>184</v>
      </c>
      <c r="D16" s="41" t="s">
        <v>185</v>
      </c>
      <c r="E16" s="42" t="n">
        <f aca="false">Casos!V7</f>
        <v>621.27</v>
      </c>
    </row>
    <row r="17" customFormat="false" ht="48" hidden="false" customHeight="true" outlineLevel="0" collapsed="false">
      <c r="A17" s="39" t="s">
        <v>102</v>
      </c>
      <c r="B17" s="40" t="s">
        <v>186</v>
      </c>
      <c r="C17" s="41" t="s">
        <v>187</v>
      </c>
      <c r="D17" s="41" t="s">
        <v>188</v>
      </c>
      <c r="E17" s="42" t="n">
        <f aca="false">Casos!W7</f>
        <v>2631.73</v>
      </c>
    </row>
    <row r="18" customFormat="false" ht="48" hidden="false" customHeight="true" outlineLevel="0" collapsed="false">
      <c r="A18" s="39" t="s">
        <v>103</v>
      </c>
      <c r="B18" s="40" t="s">
        <v>189</v>
      </c>
      <c r="C18" s="41" t="s">
        <v>190</v>
      </c>
      <c r="D18" s="41" t="s">
        <v>191</v>
      </c>
      <c r="E18" s="42" t="n">
        <f aca="false">Casos!X7</f>
        <v>292.77</v>
      </c>
    </row>
    <row r="19" customFormat="false" ht="48" hidden="false" customHeight="true" outlineLevel="0" collapsed="false">
      <c r="A19" s="39" t="s">
        <v>192</v>
      </c>
      <c r="B19" s="40" t="s">
        <v>193</v>
      </c>
      <c r="C19" s="41" t="s">
        <v>194</v>
      </c>
      <c r="D19" s="41" t="s">
        <v>195</v>
      </c>
      <c r="E19" s="42" t="n">
        <f aca="false">Casos!S7</f>
        <v>52.05</v>
      </c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2"/>
      <c r="B21" s="2"/>
      <c r="C21" s="2"/>
      <c r="D21" s="2"/>
      <c r="E21" s="2"/>
    </row>
    <row r="22" customFormat="false" ht="15" hidden="false" customHeight="false" outlineLevel="0" collapsed="false">
      <c r="A22" s="11" t="s">
        <v>196</v>
      </c>
      <c r="B22" s="2"/>
      <c r="C22" s="2"/>
      <c r="D22" s="2"/>
      <c r="E22" s="2"/>
    </row>
    <row r="23" customFormat="false" ht="15" hidden="false" customHeight="false" outlineLevel="0" collapsed="false">
      <c r="A23" s="4" t="s">
        <v>197</v>
      </c>
      <c r="B23" s="4" t="s">
        <v>198</v>
      </c>
      <c r="C23" s="4" t="s">
        <v>199</v>
      </c>
      <c r="D23" s="4" t="s">
        <v>3</v>
      </c>
      <c r="E23" s="4" t="s">
        <v>200</v>
      </c>
    </row>
    <row r="24" customFormat="false" ht="94.5" hidden="false" customHeight="true" outlineLevel="0" collapsed="false">
      <c r="A24" s="39" t="s">
        <v>201</v>
      </c>
      <c r="B24" s="41" t="s">
        <v>202</v>
      </c>
      <c r="C24" s="41" t="s">
        <v>203</v>
      </c>
      <c r="D24" s="42" t="n">
        <f aca="false">Casos!W7-Casos!W17</f>
        <v>1.61999999999989</v>
      </c>
      <c r="E24" s="41" t="s">
        <v>204</v>
      </c>
    </row>
    <row r="25" customFormat="false" ht="94.5" hidden="false" customHeight="true" outlineLevel="0" collapsed="false">
      <c r="A25" s="39" t="s">
        <v>205</v>
      </c>
      <c r="B25" s="41" t="s">
        <v>206</v>
      </c>
      <c r="C25" s="41" t="s">
        <v>207</v>
      </c>
      <c r="D25" s="42" t="n">
        <f aca="false">Casos!P7+Casos!X7</f>
        <v>3545.77</v>
      </c>
      <c r="E25" s="41" t="s">
        <v>208</v>
      </c>
    </row>
    <row r="26" customFormat="false" ht="21.75" hidden="false" customHeight="true" outlineLevel="0" collapsed="false">
      <c r="A26" s="39"/>
      <c r="B26" s="41" t="s">
        <v>209</v>
      </c>
      <c r="C26" s="41"/>
      <c r="D26" s="44" t="n">
        <f aca="false">Casos!W7/(Casos!P7+Casos!X7)</f>
        <v>0.7422167822504</v>
      </c>
      <c r="E26" s="41" t="s">
        <v>210</v>
      </c>
    </row>
    <row r="27" customFormat="false" ht="94.5" hidden="false" customHeight="true" outlineLevel="0" collapsed="false">
      <c r="A27" s="39" t="s">
        <v>211</v>
      </c>
      <c r="B27" s="41" t="s">
        <v>212</v>
      </c>
      <c r="C27" s="41" t="s">
        <v>213</v>
      </c>
      <c r="D27" s="42" t="n">
        <f aca="false">Casos!W18-Casos!W6</f>
        <v>156.6</v>
      </c>
      <c r="E27" s="41" t="s">
        <v>214</v>
      </c>
    </row>
    <row r="28" customFormat="false" ht="21.75" hidden="false" customHeight="true" outlineLevel="0" collapsed="false">
      <c r="A28" s="39"/>
      <c r="B28" s="41" t="s">
        <v>215</v>
      </c>
      <c r="C28" s="41"/>
      <c r="D28" s="42" t="n">
        <f aca="false">Casos!P18-Casos!P6</f>
        <v>180</v>
      </c>
      <c r="E28" s="41" t="s">
        <v>216</v>
      </c>
    </row>
    <row r="29" customFormat="false" ht="94.5" hidden="false" customHeight="true" outlineLevel="0" collapsed="false">
      <c r="A29" s="39" t="s">
        <v>217</v>
      </c>
      <c r="B29" s="41" t="s">
        <v>218</v>
      </c>
      <c r="C29" s="41" t="s">
        <v>219</v>
      </c>
      <c r="D29" s="44" t="n">
        <f aca="false">(Casos!N7+Casos!O7)/Casos!P7</f>
        <v>0.0399631109744851</v>
      </c>
      <c r="E29" s="41" t="s">
        <v>210</v>
      </c>
    </row>
    <row r="30" customFormat="false" ht="94.5" hidden="false" customHeight="true" outlineLevel="0" collapsed="false">
      <c r="A30" s="39" t="s">
        <v>220</v>
      </c>
      <c r="B30" s="41" t="s">
        <v>86</v>
      </c>
      <c r="C30" s="41" t="s">
        <v>221</v>
      </c>
      <c r="D30" s="44" t="n">
        <f aca="false">Casos!Y9</f>
        <v>0.87</v>
      </c>
      <c r="E30" s="41" t="s">
        <v>222</v>
      </c>
    </row>
    <row r="31" customFormat="false" ht="21.75" hidden="false" customHeight="true" outlineLevel="0" collapsed="false">
      <c r="A31" s="39"/>
      <c r="B31" s="41"/>
      <c r="C31" s="41"/>
      <c r="D31" s="44" t="n">
        <f aca="false">Casos!Y10</f>
        <v>0.8716</v>
      </c>
      <c r="E31" s="41" t="s">
        <v>223</v>
      </c>
    </row>
    <row r="32" customFormat="false" ht="21.75" hidden="false" customHeight="true" outlineLevel="0" collapsed="false">
      <c r="A32" s="39"/>
      <c r="B32" s="41"/>
      <c r="C32" s="41"/>
      <c r="D32" s="44" t="str">
        <f aca="false">Casos!Y24</f>
        <v/>
      </c>
      <c r="E32" s="41" t="s">
        <v>224</v>
      </c>
    </row>
    <row r="33" customFormat="false" ht="21.75" hidden="false" customHeight="true" outlineLevel="0" collapsed="false">
      <c r="A33" s="39"/>
      <c r="B33" s="41"/>
      <c r="C33" s="41"/>
      <c r="D33" s="44" t="str">
        <f aca="false">Casos!Y25</f>
        <v/>
      </c>
      <c r="E33" s="41" t="s">
        <v>225</v>
      </c>
    </row>
    <row r="34" customFormat="false" ht="15" hidden="false" customHeight="false" outlineLevel="0" collapsed="false">
      <c r="A34" s="2"/>
      <c r="B34" s="2"/>
      <c r="C34" s="2"/>
      <c r="D34" s="2"/>
      <c r="E34" s="2"/>
    </row>
    <row r="35" customFormat="false" ht="15" hidden="false" customHeight="false" outlineLevel="0" collapsed="false">
      <c r="A35" s="2"/>
      <c r="B35" s="2"/>
      <c r="C35" s="2"/>
      <c r="D35" s="2"/>
      <c r="E35" s="2"/>
    </row>
    <row r="36" customFormat="false" ht="15" hidden="false" customHeight="false" outlineLevel="0" collapsed="false">
      <c r="A36" s="11" t="s">
        <v>226</v>
      </c>
      <c r="B36" s="2"/>
      <c r="C36" s="2"/>
      <c r="D36" s="2"/>
      <c r="E36" s="2"/>
    </row>
    <row r="37" customFormat="false" ht="15" hidden="false" customHeight="false" outlineLevel="0" collapsed="false">
      <c r="A37" s="4" t="s">
        <v>227</v>
      </c>
      <c r="B37" s="4" t="s">
        <v>3</v>
      </c>
      <c r="C37" s="4" t="s">
        <v>6</v>
      </c>
      <c r="D37" s="4" t="s">
        <v>228</v>
      </c>
      <c r="E37" s="4" t="s">
        <v>5</v>
      </c>
    </row>
    <row r="38" customFormat="false" ht="31.5" hidden="false" customHeight="true" outlineLevel="0" collapsed="false">
      <c r="A38" s="41" t="s">
        <v>8</v>
      </c>
      <c r="B38" s="41" t="s">
        <v>229</v>
      </c>
      <c r="C38" s="41" t="s">
        <v>230</v>
      </c>
      <c r="D38" s="45" t="s">
        <v>231</v>
      </c>
      <c r="E38" s="41" t="s">
        <v>9</v>
      </c>
    </row>
    <row r="39" customFormat="false" ht="31.5" hidden="false" customHeight="true" outlineLevel="0" collapsed="false">
      <c r="A39" s="41" t="s">
        <v>74</v>
      </c>
      <c r="B39" s="41" t="s">
        <v>232</v>
      </c>
      <c r="C39" s="41" t="s">
        <v>13</v>
      </c>
      <c r="D39" s="41" t="s">
        <v>121</v>
      </c>
      <c r="E39" s="41" t="s">
        <v>9</v>
      </c>
    </row>
    <row r="40" customFormat="false" ht="31.5" hidden="false" customHeight="true" outlineLevel="0" collapsed="false">
      <c r="A40" s="41" t="s">
        <v>17</v>
      </c>
      <c r="B40" s="41" t="s">
        <v>233</v>
      </c>
      <c r="C40" s="41" t="s">
        <v>19</v>
      </c>
      <c r="D40" s="41" t="s">
        <v>121</v>
      </c>
      <c r="E40" s="41" t="s">
        <v>9</v>
      </c>
    </row>
    <row r="41" customFormat="false" ht="31.5" hidden="false" customHeight="true" outlineLevel="0" collapsed="false">
      <c r="A41" s="41" t="s">
        <v>103</v>
      </c>
      <c r="B41" s="41" t="s">
        <v>234</v>
      </c>
      <c r="C41" s="41" t="s">
        <v>22</v>
      </c>
      <c r="D41" s="41" t="s">
        <v>121</v>
      </c>
      <c r="E41" s="41" t="s">
        <v>9</v>
      </c>
    </row>
    <row r="42" customFormat="false" ht="31.5" hidden="false" customHeight="true" outlineLevel="0" collapsed="false">
      <c r="A42" s="41" t="s">
        <v>235</v>
      </c>
      <c r="B42" s="41" t="s">
        <v>236</v>
      </c>
      <c r="C42" s="41" t="s">
        <v>237</v>
      </c>
      <c r="D42" s="41" t="s">
        <v>121</v>
      </c>
      <c r="E42" s="41" t="s">
        <v>9</v>
      </c>
    </row>
    <row r="43" customFormat="false" ht="31.5" hidden="false" customHeight="true" outlineLevel="0" collapsed="false">
      <c r="A43" s="41" t="s">
        <v>238</v>
      </c>
      <c r="B43" s="41" t="s">
        <v>239</v>
      </c>
      <c r="C43" s="41" t="s">
        <v>240</v>
      </c>
      <c r="D43" s="45" t="s">
        <v>241</v>
      </c>
      <c r="E43" s="41" t="s">
        <v>9</v>
      </c>
    </row>
    <row r="44" customFormat="false" ht="31.5" hidden="false" customHeight="true" outlineLevel="0" collapsed="false">
      <c r="A44" s="41" t="s">
        <v>242</v>
      </c>
      <c r="B44" s="41" t="s">
        <v>243</v>
      </c>
      <c r="C44" s="41" t="s">
        <v>240</v>
      </c>
      <c r="D44" s="45" t="s">
        <v>241</v>
      </c>
      <c r="E44" s="41" t="s">
        <v>9</v>
      </c>
    </row>
    <row r="45" customFormat="false" ht="31.5" hidden="false" customHeight="true" outlineLevel="0" collapsed="false">
      <c r="A45" s="41" t="s">
        <v>244</v>
      </c>
      <c r="B45" s="41" t="s">
        <v>245</v>
      </c>
      <c r="C45" s="41" t="s">
        <v>246</v>
      </c>
      <c r="D45" s="45" t="s">
        <v>241</v>
      </c>
      <c r="E45" s="41" t="s">
        <v>9</v>
      </c>
    </row>
    <row r="46" customFormat="false" ht="31.5" hidden="false" customHeight="true" outlineLevel="0" collapsed="false">
      <c r="A46" s="41" t="s">
        <v>247</v>
      </c>
      <c r="B46" s="41" t="s">
        <v>248</v>
      </c>
      <c r="C46" s="41" t="s">
        <v>249</v>
      </c>
      <c r="D46" s="45" t="s">
        <v>250</v>
      </c>
      <c r="E46" s="41" t="s">
        <v>9</v>
      </c>
    </row>
    <row r="47" customFormat="false" ht="31.5" hidden="false" customHeight="true" outlineLevel="0" collapsed="false">
      <c r="A47" s="41" t="s">
        <v>251</v>
      </c>
      <c r="B47" s="41" t="s">
        <v>252</v>
      </c>
      <c r="C47" s="41" t="s">
        <v>253</v>
      </c>
      <c r="D47" s="45" t="s">
        <v>254</v>
      </c>
      <c r="E47" s="41" t="s">
        <v>9</v>
      </c>
    </row>
  </sheetData>
  <mergeCells count="2">
    <mergeCell ref="A2:E2"/>
    <mergeCell ref="A3:E3"/>
  </mergeCells>
  <hyperlinks>
    <hyperlink ref="D38" r:id="rId1" display="https://busquedas.elperuano.pe/dispositivo/EX/2559163-1"/>
    <hyperlink ref="D43" r:id="rId2" display="https://www.sbs.gob.pe/app/spp/empleadores/comisiones_spp/paginas/comision_prima.aspx"/>
    <hyperlink ref="D44" r:id="rId3" display="https://www.sbs.gob.pe/app/spp/empleadores/comisiones_spp/paginas/comision_prima.aspx"/>
    <hyperlink ref="D45" r:id="rId4" display="https://www.sbs.gob.pe/app/spp/empleadores/comisiones_spp/paginas/comision_prima.aspx"/>
    <hyperlink ref="D46" r:id="rId5" display="https://pe.indeed.com/viewjob?jk=2e0bc9e6cc00ba32"/>
    <hyperlink ref="D47" r:id="rId6" display="https://pe.indeed.com/viewjob?jk=a77b5ea411c2291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2026-10-28T13:43:16Z</dcterms:created>
  <dc:creator>Angie Portocarrero</dc:creator>
  <dc:description/>
  <dc:language>es-PE</dc:language>
  <cp:lastModifiedBy>Angie Portocarrero</cp:lastModifiedBy>
  <dcterms:modified xsi:type="dcterms:W3CDTF">2026-10-28T13:43:16Z</dcterms:modified>
  <cp:revision>0</cp:revision>
  <dc:subject>Móviles Avanzados · Tecsup</dc:subject>
  <dc:title>Boleta de pago: del sueldo al neto · Semana 09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